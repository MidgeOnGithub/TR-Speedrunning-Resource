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ables/table7.xml" ContentType="application/vnd.openxmlformats-officedocument.spreadsheetml.table+xml"/>
  <Override PartName="/xl/comments2.xml" ContentType="application/vnd.openxmlformats-officedocument.spreadsheetml.comments+xml"/>
  <Override PartName="/xl/tables/table8.xml" ContentType="application/vnd.openxmlformats-officedocument.spreadsheetml.table+xml"/>
  <Override PartName="/xl/comments3.xml" ContentType="application/vnd.openxmlformats-officedocument.spreadsheetml.comments+xml"/>
  <Override PartName="/xl/tables/table9.xml" ContentType="application/vnd.openxmlformats-officedocument.spreadsheetml.table+xml"/>
  <Override PartName="/xl/comments4.xml" ContentType="application/vnd.openxmlformats-officedocument.spreadsheetml.comments+xml"/>
  <Override PartName="/xl/tables/table10.xml" ContentType="application/vnd.openxmlformats-officedocument.spreadsheetml.table+xml"/>
  <Override PartName="/xl/comments5.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tables/table13.xml" ContentType="application/vnd.openxmlformats-officedocument.spreadsheetml.table+xml"/>
  <Override PartName="/xl/comments6.xml" ContentType="application/vnd.openxmlformats-officedocument.spreadsheetml.comments+xml"/>
  <Override PartName="/xl/drawings/drawing2.xml" ContentType="application/vnd.openxmlformats-officedocument.drawing+xml"/>
  <Override PartName="/xl/tables/table14.xml" ContentType="application/vnd.openxmlformats-officedocument.spreadsheetml.tab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Q:\Games\Tomp Stuff\TR2\Routing Resource\"/>
    </mc:Choice>
  </mc:AlternateContent>
  <xr:revisionPtr revIDLastSave="0" documentId="10_ncr:100000_{6B7810EA-6A03-49CF-9C44-C36DFBD1F6B0}" xr6:coauthVersionLast="31" xr6:coauthVersionMax="31" xr10:uidLastSave="{00000000-0000-0000-0000-000000000000}"/>
  <bookViews>
    <workbookView xWindow="0" yWindow="0" windowWidth="21570" windowHeight="7965" xr2:uid="{00000000-000D-0000-FFFF-FFFF00000000}"/>
  </bookViews>
  <sheets>
    <sheet name="Information" sheetId="1" r:id="rId1"/>
    <sheet name="Menu" sheetId="8" r:id="rId2"/>
    <sheet name="Meds" sheetId="2" state="veryHidden" r:id="rId3"/>
    <sheet name="Any%" sheetId="3" state="veryHidden" r:id="rId4"/>
    <sheet name="Glitchless Any%" sheetId="4" state="veryHidden" r:id="rId5"/>
    <sheet name="Secrets%" sheetId="11" state="veryHidden" r:id="rId6"/>
    <sheet name="Glitchless Secrets%" sheetId="12" state="veryHidden" r:id="rId7"/>
    <sheet name="100%" sheetId="5" state="veryHidden" r:id="rId8"/>
    <sheet name="Glitchless 100%" sheetId="9" state="veryHidden" r:id="rId9"/>
    <sheet name="100% Counts Glitched" sheetId="7" state="veryHidden" r:id="rId10"/>
    <sheet name="100% Counts Glitchless" sheetId="10" state="veryHidden" r:id="rId11"/>
  </sheets>
  <definedNames>
    <definedName name="Ammo">Menu!$D$3</definedName>
    <definedName name="Meds">Menu!$D$2</definedName>
    <definedName name="_xlnm.Print_Area" localSheetId="9">'100% Counts Glitched'!$B$2:$O$22</definedName>
    <definedName name="_xlnm.Print_Area" localSheetId="10">'100% Counts Glitchless'!$B$2:$O$22</definedName>
    <definedName name="_xlnm.Print_Area" localSheetId="0">Information!$A$1:$G$25</definedName>
    <definedName name="_xlnm.Print_Area" localSheetId="2">Meds!$A$1:$AS$51</definedName>
    <definedName name="_xlnm.Print_Titles" localSheetId="2">Meds!$1:$5</definedName>
    <definedName name="Table">Menu!$D$5</definedName>
    <definedName name="Visibility">Menu!$D$3</definedName>
  </definedNames>
  <calcPr calcId="179017"/>
</workbook>
</file>

<file path=xl/calcChain.xml><?xml version="1.0" encoding="utf-8"?>
<calcChain xmlns="http://schemas.openxmlformats.org/spreadsheetml/2006/main">
  <c r="AR24" i="2" l="1"/>
  <c r="AG24" i="2"/>
  <c r="Q39" i="4" l="1"/>
  <c r="U42" i="4"/>
  <c r="O42" i="4"/>
  <c r="N42" i="4"/>
  <c r="U42" i="3"/>
  <c r="Q39" i="3"/>
  <c r="T42" i="3"/>
  <c r="O42" i="3"/>
  <c r="N42" i="3"/>
  <c r="M42" i="3"/>
  <c r="R64" i="9" l="1"/>
  <c r="M64" i="9"/>
  <c r="AB63" i="9"/>
  <c r="Y63" i="9"/>
  <c r="V63" i="9"/>
  <c r="S63" i="9"/>
  <c r="P63" i="9"/>
  <c r="M63" i="9"/>
  <c r="AB62" i="9"/>
  <c r="Y62" i="9"/>
  <c r="V62" i="9"/>
  <c r="S62" i="9"/>
  <c r="P62" i="9"/>
  <c r="M62" i="9"/>
  <c r="AB61" i="9"/>
  <c r="Y61" i="9"/>
  <c r="V61" i="9"/>
  <c r="S61" i="9"/>
  <c r="P61" i="9"/>
  <c r="M61" i="9"/>
  <c r="AB60" i="9"/>
  <c r="Y60" i="9"/>
  <c r="V60" i="9"/>
  <c r="S60" i="9"/>
  <c r="P60" i="9"/>
  <c r="M60" i="9"/>
  <c r="AB59" i="9"/>
  <c r="Y59" i="9"/>
  <c r="V59" i="9"/>
  <c r="S59" i="9"/>
  <c r="P59" i="9"/>
  <c r="M59" i="9"/>
  <c r="AB58" i="9"/>
  <c r="Y58" i="9"/>
  <c r="V58" i="9"/>
  <c r="S58" i="9"/>
  <c r="P58" i="9"/>
  <c r="M58" i="9"/>
  <c r="AB57" i="9"/>
  <c r="Y57" i="9"/>
  <c r="V57" i="9"/>
  <c r="S57" i="9"/>
  <c r="P57" i="9"/>
  <c r="M57" i="9"/>
  <c r="AB56" i="9"/>
  <c r="Y56" i="9"/>
  <c r="V56" i="9"/>
  <c r="S56" i="9"/>
  <c r="P56" i="9"/>
  <c r="M56" i="9"/>
  <c r="AB55" i="9"/>
  <c r="Y55" i="9"/>
  <c r="V55" i="9"/>
  <c r="S55" i="9"/>
  <c r="P55" i="9"/>
  <c r="M55" i="9"/>
  <c r="AB54" i="9"/>
  <c r="Y54" i="9"/>
  <c r="V54" i="9"/>
  <c r="S54" i="9"/>
  <c r="P54" i="9"/>
  <c r="M54" i="9"/>
  <c r="Y53" i="9"/>
  <c r="V53" i="9"/>
  <c r="S53" i="9"/>
  <c r="P53" i="9"/>
  <c r="M53" i="9"/>
  <c r="Y52" i="9"/>
  <c r="V52" i="9"/>
  <c r="S52" i="9"/>
  <c r="P52" i="9"/>
  <c r="M52" i="9"/>
  <c r="V51" i="9"/>
  <c r="X51" i="9" s="1"/>
  <c r="X52" i="9" s="1"/>
  <c r="X53" i="9" s="1"/>
  <c r="X54" i="9" s="1"/>
  <c r="X55" i="9" s="1"/>
  <c r="X56" i="9" s="1"/>
  <c r="X57" i="9" s="1"/>
  <c r="X58" i="9" s="1"/>
  <c r="X59" i="9" s="1"/>
  <c r="X60" i="9" s="1"/>
  <c r="X61" i="9" s="1"/>
  <c r="X62" i="9" s="1"/>
  <c r="X63" i="9" s="1"/>
  <c r="S51" i="9"/>
  <c r="P51" i="9"/>
  <c r="M51" i="9"/>
  <c r="AB50" i="9"/>
  <c r="S50" i="9"/>
  <c r="P50" i="9"/>
  <c r="M50" i="9"/>
  <c r="AB49" i="9"/>
  <c r="S49" i="9"/>
  <c r="P49" i="9"/>
  <c r="M49" i="9"/>
  <c r="AB48" i="9"/>
  <c r="AA48" i="9"/>
  <c r="AA49" i="9" s="1"/>
  <c r="AA50" i="9" s="1"/>
  <c r="AA51" i="9" s="1"/>
  <c r="AA52" i="9" s="1"/>
  <c r="AA53" i="9" s="1"/>
  <c r="AA54" i="9" s="1"/>
  <c r="AA55" i="9" s="1"/>
  <c r="AA56" i="9" s="1"/>
  <c r="AA57" i="9" s="1"/>
  <c r="AA58" i="9" s="1"/>
  <c r="AA59" i="9" s="1"/>
  <c r="AA60" i="9" s="1"/>
  <c r="AA61" i="9" s="1"/>
  <c r="AA62" i="9" s="1"/>
  <c r="AA63" i="9" s="1"/>
  <c r="U48" i="9"/>
  <c r="U49" i="9" s="1"/>
  <c r="U50" i="9" s="1"/>
  <c r="U51" i="9" s="1"/>
  <c r="U52" i="9" s="1"/>
  <c r="U53" i="9" s="1"/>
  <c r="U54" i="9" s="1"/>
  <c r="U55" i="9" s="1"/>
  <c r="U56" i="9" s="1"/>
  <c r="U57" i="9" s="1"/>
  <c r="U58" i="9" s="1"/>
  <c r="U59" i="9" s="1"/>
  <c r="U60" i="9" s="1"/>
  <c r="U61" i="9" s="1"/>
  <c r="U62" i="9" s="1"/>
  <c r="U63" i="9" s="1"/>
  <c r="P48" i="9"/>
  <c r="M48" i="9"/>
  <c r="AB47" i="9"/>
  <c r="AD47" i="9" s="1"/>
  <c r="AD48" i="9" s="1"/>
  <c r="AD49" i="9" s="1"/>
  <c r="AD50" i="9" s="1"/>
  <c r="AD51" i="9" s="1"/>
  <c r="AD52" i="9" s="1"/>
  <c r="AD53" i="9" s="1"/>
  <c r="AD54" i="9" s="1"/>
  <c r="AD55" i="9" s="1"/>
  <c r="AD56" i="9" s="1"/>
  <c r="AD57" i="9" s="1"/>
  <c r="AD58" i="9" s="1"/>
  <c r="AD59" i="9" s="1"/>
  <c r="AD60" i="9" s="1"/>
  <c r="AD61" i="9" s="1"/>
  <c r="AD62" i="9" s="1"/>
  <c r="AD63" i="9" s="1"/>
  <c r="P47" i="9"/>
  <c r="R47" i="9" s="1"/>
  <c r="R48" i="9" s="1"/>
  <c r="R49" i="9" s="1"/>
  <c r="R50" i="9" s="1"/>
  <c r="R51" i="9" s="1"/>
  <c r="R52" i="9" s="1"/>
  <c r="R53" i="9" s="1"/>
  <c r="R54" i="9" s="1"/>
  <c r="R55" i="9" s="1"/>
  <c r="R56" i="9" s="1"/>
  <c r="R57" i="9" s="1"/>
  <c r="R58" i="9" s="1"/>
  <c r="R59" i="9" s="1"/>
  <c r="R60" i="9" s="1"/>
  <c r="R61" i="9" s="1"/>
  <c r="R62" i="9" s="1"/>
  <c r="R63" i="9" s="1"/>
  <c r="M47" i="9"/>
  <c r="O47" i="9" s="1"/>
  <c r="O48" i="9" s="1"/>
  <c r="O49" i="9" s="1"/>
  <c r="O50" i="9" s="1"/>
  <c r="O51" i="9" s="1"/>
  <c r="O52" i="9" s="1"/>
  <c r="O53" i="9" s="1"/>
  <c r="O54" i="9" s="1"/>
  <c r="O55" i="9" s="1"/>
  <c r="O56" i="9" s="1"/>
  <c r="O57" i="9" s="1"/>
  <c r="O58" i="9" s="1"/>
  <c r="O59" i="9" s="1"/>
  <c r="O60" i="9" s="1"/>
  <c r="O61" i="9" s="1"/>
  <c r="O62" i="9" s="1"/>
  <c r="O63" i="9" s="1"/>
  <c r="AD62" i="5"/>
  <c r="AD60" i="5"/>
  <c r="AD59" i="5"/>
  <c r="AD56" i="5"/>
  <c r="AD54" i="5"/>
  <c r="AD47" i="5"/>
  <c r="AD48" i="5" s="1"/>
  <c r="AD49" i="5" s="1"/>
  <c r="AD50" i="5" s="1"/>
  <c r="AD51" i="5" s="1"/>
  <c r="AD52" i="5" s="1"/>
  <c r="AD53" i="5" s="1"/>
  <c r="AA59" i="5"/>
  <c r="AA58" i="5"/>
  <c r="AA55" i="5"/>
  <c r="AA48" i="5"/>
  <c r="AA49" i="5" s="1"/>
  <c r="AA50" i="5" s="1"/>
  <c r="AA51" i="5" s="1"/>
  <c r="AA52" i="5" s="1"/>
  <c r="AA53" i="5" s="1"/>
  <c r="AA54" i="5" s="1"/>
  <c r="AA56" i="5" s="1"/>
  <c r="AA57" i="5" s="1"/>
  <c r="AA60" i="5" s="1"/>
  <c r="AA61" i="5" s="1"/>
  <c r="AA62" i="5" s="1"/>
  <c r="AA63" i="5" s="1"/>
  <c r="X53" i="5"/>
  <c r="X51" i="5"/>
  <c r="X52" i="5" s="1"/>
  <c r="U61" i="5"/>
  <c r="U57" i="5"/>
  <c r="U52" i="5"/>
  <c r="U51" i="5"/>
  <c r="U50" i="5"/>
  <c r="U48" i="5"/>
  <c r="U49" i="5" s="1"/>
  <c r="R49" i="5"/>
  <c r="R64" i="5"/>
  <c r="R47" i="5"/>
  <c r="R48" i="5" s="1"/>
  <c r="O48" i="5"/>
  <c r="O47" i="5"/>
  <c r="M64" i="5"/>
  <c r="M63" i="5"/>
  <c r="M62" i="5"/>
  <c r="M61" i="5"/>
  <c r="M60" i="5"/>
  <c r="M59" i="5"/>
  <c r="M58" i="5"/>
  <c r="M57" i="5"/>
  <c r="M56" i="5"/>
  <c r="M55" i="5"/>
  <c r="M54" i="5"/>
  <c r="M53" i="5"/>
  <c r="M52" i="5"/>
  <c r="M51" i="5"/>
  <c r="M50" i="5"/>
  <c r="M49" i="5"/>
  <c r="M48" i="5"/>
  <c r="M47" i="5"/>
  <c r="P47" i="5"/>
  <c r="AB47" i="5"/>
  <c r="P48" i="5"/>
  <c r="AB48" i="5"/>
  <c r="P49" i="5"/>
  <c r="S49" i="5"/>
  <c r="AB49" i="5"/>
  <c r="P50" i="5"/>
  <c r="S50" i="5"/>
  <c r="AB50" i="5"/>
  <c r="P51" i="5"/>
  <c r="S51" i="5"/>
  <c r="V51" i="5"/>
  <c r="P52" i="5"/>
  <c r="S52" i="5"/>
  <c r="V52" i="5"/>
  <c r="Y52" i="5"/>
  <c r="P53" i="5"/>
  <c r="S53" i="5"/>
  <c r="V53" i="5"/>
  <c r="Y53" i="5"/>
  <c r="P54" i="5"/>
  <c r="S54" i="5"/>
  <c r="V54" i="5"/>
  <c r="Y54" i="5"/>
  <c r="AB54" i="5"/>
  <c r="P55" i="5"/>
  <c r="S55" i="5"/>
  <c r="V55" i="5"/>
  <c r="Y55" i="5"/>
  <c r="AB55" i="5"/>
  <c r="P56" i="5"/>
  <c r="S56" i="5"/>
  <c r="V56" i="5"/>
  <c r="Y56" i="5"/>
  <c r="AB56" i="5"/>
  <c r="P57" i="5"/>
  <c r="S57" i="5"/>
  <c r="V57" i="5"/>
  <c r="Y57" i="5"/>
  <c r="AB57" i="5"/>
  <c r="P58" i="5"/>
  <c r="S58" i="5"/>
  <c r="V58" i="5"/>
  <c r="Y58" i="5"/>
  <c r="AB58" i="5"/>
  <c r="P59" i="5"/>
  <c r="S59" i="5"/>
  <c r="V59" i="5"/>
  <c r="Y59" i="5"/>
  <c r="AB59" i="5"/>
  <c r="P60" i="5"/>
  <c r="S60" i="5"/>
  <c r="V60" i="5"/>
  <c r="Y60" i="5"/>
  <c r="AB60" i="5"/>
  <c r="P61" i="5"/>
  <c r="S61" i="5"/>
  <c r="V61" i="5"/>
  <c r="Y61" i="5"/>
  <c r="AB61" i="5"/>
  <c r="P62" i="5"/>
  <c r="S62" i="5"/>
  <c r="V62" i="5"/>
  <c r="Y62" i="5"/>
  <c r="AB62" i="5"/>
  <c r="P63" i="5"/>
  <c r="S63" i="5"/>
  <c r="V63" i="5"/>
  <c r="Y63" i="5"/>
  <c r="AB63" i="5"/>
  <c r="AB64" i="12"/>
  <c r="Y64" i="12"/>
  <c r="V64" i="12"/>
  <c r="S64" i="12"/>
  <c r="R64" i="12"/>
  <c r="M64" i="12"/>
  <c r="AB63" i="12"/>
  <c r="Y63" i="12"/>
  <c r="V63" i="12"/>
  <c r="S63" i="12"/>
  <c r="P63" i="12"/>
  <c r="M63" i="12"/>
  <c r="AB62" i="12"/>
  <c r="Y62" i="12"/>
  <c r="V62" i="12"/>
  <c r="S62" i="12"/>
  <c r="P62" i="12"/>
  <c r="M62" i="12"/>
  <c r="AB61" i="12"/>
  <c r="Y61" i="12"/>
  <c r="V61" i="12"/>
  <c r="S61" i="12"/>
  <c r="P61" i="12"/>
  <c r="M61" i="12"/>
  <c r="AB60" i="12"/>
  <c r="Y60" i="12"/>
  <c r="V60" i="12"/>
  <c r="S60" i="12"/>
  <c r="P60" i="12"/>
  <c r="M60" i="12"/>
  <c r="AB59" i="12"/>
  <c r="Y59" i="12"/>
  <c r="V59" i="12"/>
  <c r="S59" i="12"/>
  <c r="P59" i="12"/>
  <c r="M59" i="12"/>
  <c r="AB58" i="12"/>
  <c r="Y58" i="12"/>
  <c r="V58" i="12"/>
  <c r="S58" i="12"/>
  <c r="P58" i="12"/>
  <c r="M58" i="12"/>
  <c r="AB57" i="12"/>
  <c r="Y57" i="12"/>
  <c r="V57" i="12"/>
  <c r="S57" i="12"/>
  <c r="P57" i="12"/>
  <c r="M57" i="12"/>
  <c r="AB56" i="12"/>
  <c r="Y56" i="12"/>
  <c r="V56" i="12"/>
  <c r="S56" i="12"/>
  <c r="P56" i="12"/>
  <c r="M56" i="12"/>
  <c r="AB55" i="12"/>
  <c r="Y55" i="12"/>
  <c r="V55" i="12"/>
  <c r="S55" i="12"/>
  <c r="P55" i="12"/>
  <c r="M55" i="12"/>
  <c r="AB54" i="12"/>
  <c r="Y54" i="12"/>
  <c r="V54" i="12"/>
  <c r="S54" i="12"/>
  <c r="P54" i="12"/>
  <c r="M54" i="12"/>
  <c r="Y53" i="12"/>
  <c r="V53" i="12"/>
  <c r="S53" i="12"/>
  <c r="P53" i="12"/>
  <c r="M53" i="12"/>
  <c r="Y52" i="12"/>
  <c r="V52" i="12"/>
  <c r="S52" i="12"/>
  <c r="P52" i="12"/>
  <c r="M52" i="12"/>
  <c r="V51" i="12"/>
  <c r="X51" i="12" s="1"/>
  <c r="X52" i="12" s="1"/>
  <c r="X53" i="12" s="1"/>
  <c r="X54" i="12" s="1"/>
  <c r="X55" i="12" s="1"/>
  <c r="X56" i="12" s="1"/>
  <c r="X57" i="12" s="1"/>
  <c r="X58" i="12" s="1"/>
  <c r="X59" i="12" s="1"/>
  <c r="X60" i="12" s="1"/>
  <c r="X61" i="12" s="1"/>
  <c r="X62" i="12" s="1"/>
  <c r="X63" i="12" s="1"/>
  <c r="S51" i="12"/>
  <c r="P51" i="12"/>
  <c r="M51" i="12"/>
  <c r="AB50" i="12"/>
  <c r="S50" i="12"/>
  <c r="P50" i="12"/>
  <c r="M50" i="12"/>
  <c r="AB49" i="12"/>
  <c r="S49" i="12"/>
  <c r="P49" i="12"/>
  <c r="M49" i="12"/>
  <c r="AB48" i="12"/>
  <c r="AA48" i="12"/>
  <c r="AA49" i="12" s="1"/>
  <c r="AA50" i="12" s="1"/>
  <c r="AA51" i="12" s="1"/>
  <c r="AA52" i="12" s="1"/>
  <c r="AA53" i="12" s="1"/>
  <c r="AA54" i="12" s="1"/>
  <c r="AA55" i="12" s="1"/>
  <c r="AA56" i="12" s="1"/>
  <c r="AA57" i="12" s="1"/>
  <c r="AA58" i="12" s="1"/>
  <c r="AA59" i="12" s="1"/>
  <c r="AA60" i="12" s="1"/>
  <c r="AA61" i="12" s="1"/>
  <c r="AA62" i="12" s="1"/>
  <c r="AA63" i="12" s="1"/>
  <c r="S48" i="12"/>
  <c r="U48" i="12" s="1"/>
  <c r="U49" i="12" s="1"/>
  <c r="U50" i="12" s="1"/>
  <c r="U51" i="12" s="1"/>
  <c r="U52" i="12" s="1"/>
  <c r="U53" i="12" s="1"/>
  <c r="U54" i="12" s="1"/>
  <c r="U55" i="12" s="1"/>
  <c r="U56" i="12" s="1"/>
  <c r="U57" i="12" s="1"/>
  <c r="U58" i="12" s="1"/>
  <c r="U59" i="12" s="1"/>
  <c r="U60" i="12" s="1"/>
  <c r="U61" i="12" s="1"/>
  <c r="U62" i="12" s="1"/>
  <c r="U63" i="12" s="1"/>
  <c r="P48" i="12"/>
  <c r="M48" i="12"/>
  <c r="AB47" i="12"/>
  <c r="AD47" i="12" s="1"/>
  <c r="AD48" i="12" s="1"/>
  <c r="AD49" i="12" s="1"/>
  <c r="AD50" i="12" s="1"/>
  <c r="AD51" i="12" s="1"/>
  <c r="AD52" i="12" s="1"/>
  <c r="AD53" i="12" s="1"/>
  <c r="AD54" i="12" s="1"/>
  <c r="AD55" i="12" s="1"/>
  <c r="AD56" i="12" s="1"/>
  <c r="AD57" i="12" s="1"/>
  <c r="AD58" i="12" s="1"/>
  <c r="AD59" i="12" s="1"/>
  <c r="AD60" i="12" s="1"/>
  <c r="AD61" i="12" s="1"/>
  <c r="AD62" i="12" s="1"/>
  <c r="AD63" i="12" s="1"/>
  <c r="S47" i="12"/>
  <c r="P47" i="12"/>
  <c r="R47" i="12" s="1"/>
  <c r="R48" i="12" s="1"/>
  <c r="R49" i="12" s="1"/>
  <c r="R50" i="12" s="1"/>
  <c r="R51" i="12" s="1"/>
  <c r="R52" i="12" s="1"/>
  <c r="R53" i="12" s="1"/>
  <c r="R54" i="12" s="1"/>
  <c r="R55" i="12" s="1"/>
  <c r="R56" i="12" s="1"/>
  <c r="R57" i="12" s="1"/>
  <c r="R58" i="12" s="1"/>
  <c r="R59" i="12" s="1"/>
  <c r="R60" i="12" s="1"/>
  <c r="R61" i="12" s="1"/>
  <c r="R62" i="12" s="1"/>
  <c r="R63" i="12" s="1"/>
  <c r="O47" i="12"/>
  <c r="O48" i="12" s="1"/>
  <c r="O49" i="12" s="1"/>
  <c r="O50" i="12" s="1"/>
  <c r="O51" i="12" s="1"/>
  <c r="O52" i="12" s="1"/>
  <c r="O53" i="12" s="1"/>
  <c r="O54" i="12" s="1"/>
  <c r="O55" i="12" s="1"/>
  <c r="O56" i="12" s="1"/>
  <c r="O57" i="12" s="1"/>
  <c r="O58" i="12" s="1"/>
  <c r="O59" i="12" s="1"/>
  <c r="O60" i="12" s="1"/>
  <c r="O61" i="12" s="1"/>
  <c r="O62" i="12" s="1"/>
  <c r="O63" i="12" s="1"/>
  <c r="M47" i="12"/>
  <c r="AB64" i="11"/>
  <c r="Y64" i="11"/>
  <c r="V64" i="11"/>
  <c r="S64" i="11"/>
  <c r="R64" i="11"/>
  <c r="M64" i="11"/>
  <c r="AB63" i="11"/>
  <c r="Y63" i="11"/>
  <c r="V63" i="11"/>
  <c r="S63" i="11"/>
  <c r="P63" i="11"/>
  <c r="M63" i="11"/>
  <c r="AB62" i="11"/>
  <c r="Y62" i="11"/>
  <c r="V62" i="11"/>
  <c r="S62" i="11"/>
  <c r="P62" i="11"/>
  <c r="M62" i="11"/>
  <c r="AB61" i="11"/>
  <c r="Y61" i="11"/>
  <c r="V61" i="11"/>
  <c r="S61" i="11"/>
  <c r="P61" i="11"/>
  <c r="M61" i="11"/>
  <c r="AB60" i="11"/>
  <c r="Y60" i="11"/>
  <c r="V60" i="11"/>
  <c r="S60" i="11"/>
  <c r="P60" i="11"/>
  <c r="M60" i="11"/>
  <c r="AB59" i="11"/>
  <c r="Y59" i="11"/>
  <c r="V59" i="11"/>
  <c r="S59" i="11"/>
  <c r="P59" i="11"/>
  <c r="M59" i="11"/>
  <c r="AB58" i="11"/>
  <c r="Y58" i="11"/>
  <c r="V58" i="11"/>
  <c r="S58" i="11"/>
  <c r="P58" i="11"/>
  <c r="M58" i="11"/>
  <c r="AB57" i="11"/>
  <c r="Y57" i="11"/>
  <c r="V57" i="11"/>
  <c r="S57" i="11"/>
  <c r="P57" i="11"/>
  <c r="M57" i="11"/>
  <c r="AB56" i="11"/>
  <c r="Y56" i="11"/>
  <c r="V56" i="11"/>
  <c r="S56" i="11"/>
  <c r="P56" i="11"/>
  <c r="M56" i="11"/>
  <c r="AB55" i="11"/>
  <c r="Y55" i="11"/>
  <c r="V55" i="11"/>
  <c r="S55" i="11"/>
  <c r="P55" i="11"/>
  <c r="M55" i="11"/>
  <c r="AB54" i="11"/>
  <c r="Y54" i="11"/>
  <c r="V54" i="11"/>
  <c r="S54" i="11"/>
  <c r="P54" i="11"/>
  <c r="M54" i="11"/>
  <c r="Y53" i="11"/>
  <c r="V53" i="11"/>
  <c r="S53" i="11"/>
  <c r="P53" i="11"/>
  <c r="M53" i="11"/>
  <c r="Y52" i="11"/>
  <c r="V52" i="11"/>
  <c r="S52" i="11"/>
  <c r="P52" i="11"/>
  <c r="M52" i="11"/>
  <c r="V51" i="11"/>
  <c r="X51" i="11" s="1"/>
  <c r="X52" i="11" s="1"/>
  <c r="X53" i="11" s="1"/>
  <c r="X54" i="11" s="1"/>
  <c r="X55" i="11" s="1"/>
  <c r="X56" i="11" s="1"/>
  <c r="X57" i="11" s="1"/>
  <c r="X58" i="11" s="1"/>
  <c r="X59" i="11" s="1"/>
  <c r="X60" i="11" s="1"/>
  <c r="X61" i="11" s="1"/>
  <c r="X62" i="11" s="1"/>
  <c r="X63" i="11" s="1"/>
  <c r="S51" i="11"/>
  <c r="P51" i="11"/>
  <c r="M51" i="11"/>
  <c r="AB50" i="11"/>
  <c r="S50" i="11"/>
  <c r="P50" i="11"/>
  <c r="M50" i="11"/>
  <c r="AB49" i="11"/>
  <c r="S49" i="11"/>
  <c r="P49" i="11"/>
  <c r="M49" i="11"/>
  <c r="AB48" i="11"/>
  <c r="AA48" i="11"/>
  <c r="AA49" i="11" s="1"/>
  <c r="AA50" i="11" s="1"/>
  <c r="AA51" i="11" s="1"/>
  <c r="AA52" i="11" s="1"/>
  <c r="AA53" i="11" s="1"/>
  <c r="AA54" i="11" s="1"/>
  <c r="AA55" i="11" s="1"/>
  <c r="AA56" i="11" s="1"/>
  <c r="AA57" i="11" s="1"/>
  <c r="AA58" i="11" s="1"/>
  <c r="AA59" i="11" s="1"/>
  <c r="AA60" i="11" s="1"/>
  <c r="AA61" i="11" s="1"/>
  <c r="AA62" i="11" s="1"/>
  <c r="AA63" i="11" s="1"/>
  <c r="S48" i="11"/>
  <c r="U48" i="11" s="1"/>
  <c r="U49" i="11" s="1"/>
  <c r="U50" i="11" s="1"/>
  <c r="U51" i="11" s="1"/>
  <c r="U52" i="11" s="1"/>
  <c r="U53" i="11" s="1"/>
  <c r="U54" i="11" s="1"/>
  <c r="U55" i="11" s="1"/>
  <c r="U56" i="11" s="1"/>
  <c r="U57" i="11" s="1"/>
  <c r="U58" i="11" s="1"/>
  <c r="U59" i="11" s="1"/>
  <c r="U60" i="11" s="1"/>
  <c r="U61" i="11" s="1"/>
  <c r="U62" i="11" s="1"/>
  <c r="U63" i="11" s="1"/>
  <c r="P48" i="11"/>
  <c r="M48" i="11"/>
  <c r="AB47" i="11"/>
  <c r="AD47" i="11" s="1"/>
  <c r="AD48" i="11" s="1"/>
  <c r="AD49" i="11" s="1"/>
  <c r="AD50" i="11" s="1"/>
  <c r="AD51" i="11" s="1"/>
  <c r="AD52" i="11" s="1"/>
  <c r="AD53" i="11" s="1"/>
  <c r="AD54" i="11" s="1"/>
  <c r="AD55" i="11" s="1"/>
  <c r="AD56" i="11" s="1"/>
  <c r="AD57" i="11" s="1"/>
  <c r="AD58" i="11" s="1"/>
  <c r="AD59" i="11" s="1"/>
  <c r="AD60" i="11" s="1"/>
  <c r="AD61" i="11" s="1"/>
  <c r="AD62" i="11" s="1"/>
  <c r="AD63" i="11" s="1"/>
  <c r="S47" i="11"/>
  <c r="P47" i="11"/>
  <c r="R47" i="11" s="1"/>
  <c r="R48" i="11" s="1"/>
  <c r="R49" i="11" s="1"/>
  <c r="R50" i="11" s="1"/>
  <c r="R51" i="11" s="1"/>
  <c r="R52" i="11" s="1"/>
  <c r="R53" i="11" s="1"/>
  <c r="R54" i="11" s="1"/>
  <c r="R55" i="11" s="1"/>
  <c r="R56" i="11" s="1"/>
  <c r="R57" i="11" s="1"/>
  <c r="R58" i="11" s="1"/>
  <c r="R59" i="11" s="1"/>
  <c r="R60" i="11" s="1"/>
  <c r="R61" i="11" s="1"/>
  <c r="R62" i="11" s="1"/>
  <c r="R63" i="11" s="1"/>
  <c r="M47" i="11"/>
  <c r="O47" i="11" s="1"/>
  <c r="O48" i="11" s="1"/>
  <c r="O49" i="11" s="1"/>
  <c r="O50" i="11" s="1"/>
  <c r="O51" i="11" s="1"/>
  <c r="O52" i="11" s="1"/>
  <c r="O53" i="11" s="1"/>
  <c r="O54" i="11" s="1"/>
  <c r="O55" i="11" s="1"/>
  <c r="O56" i="11" s="1"/>
  <c r="O57" i="11" s="1"/>
  <c r="O58" i="11" s="1"/>
  <c r="O59" i="11" s="1"/>
  <c r="O60" i="11" s="1"/>
  <c r="O61" i="11" s="1"/>
  <c r="O62" i="11" s="1"/>
  <c r="O63" i="11" s="1"/>
  <c r="O47" i="4"/>
  <c r="AD55" i="5" l="1"/>
  <c r="AD57" i="5" s="1"/>
  <c r="AD58" i="5" s="1"/>
  <c r="AD61" i="5" s="1"/>
  <c r="AD63" i="5" s="1"/>
  <c r="X54" i="5"/>
  <c r="X55" i="5" s="1"/>
  <c r="X56" i="5" s="1"/>
  <c r="X57" i="5" s="1"/>
  <c r="X58" i="5" s="1"/>
  <c r="X59" i="5" s="1"/>
  <c r="X60" i="5" s="1"/>
  <c r="X61" i="5" s="1"/>
  <c r="X62" i="5" s="1"/>
  <c r="X63" i="5" s="1"/>
  <c r="U53" i="5"/>
  <c r="U54" i="5" s="1"/>
  <c r="U55" i="5" s="1"/>
  <c r="U56" i="5" s="1"/>
  <c r="U58" i="5" s="1"/>
  <c r="U59" i="5" s="1"/>
  <c r="U60" i="5" s="1"/>
  <c r="U62" i="5" s="1"/>
  <c r="U63" i="5" s="1"/>
  <c r="R50" i="5"/>
  <c r="R51" i="5" s="1"/>
  <c r="R52" i="5" s="1"/>
  <c r="R53" i="5" s="1"/>
  <c r="R54" i="5" s="1"/>
  <c r="R55" i="5" s="1"/>
  <c r="R56" i="5" s="1"/>
  <c r="R57" i="5" s="1"/>
  <c r="R58" i="5" s="1"/>
  <c r="R59" i="5" s="1"/>
  <c r="R60" i="5" s="1"/>
  <c r="R61" i="5" s="1"/>
  <c r="R62" i="5" s="1"/>
  <c r="R63" i="5" s="1"/>
  <c r="O49" i="5"/>
  <c r="O50" i="5" s="1"/>
  <c r="O51" i="5" s="1"/>
  <c r="O52" i="5" s="1"/>
  <c r="O53" i="5" s="1"/>
  <c r="O54" i="5" s="1"/>
  <c r="O55" i="5" s="1"/>
  <c r="O56" i="5" s="1"/>
  <c r="O57" i="5" s="1"/>
  <c r="O58" i="5" s="1"/>
  <c r="O59" i="5" s="1"/>
  <c r="O60" i="5" s="1"/>
  <c r="O61" i="5" s="1"/>
  <c r="O62" i="5" s="1"/>
  <c r="O63" i="5" s="1"/>
  <c r="AB64" i="4"/>
  <c r="AB63" i="4"/>
  <c r="AB62" i="4"/>
  <c r="AB61" i="4"/>
  <c r="AB60" i="4"/>
  <c r="AB59" i="4"/>
  <c r="AB58" i="4"/>
  <c r="AB57" i="4"/>
  <c r="AB56" i="4"/>
  <c r="AB55" i="4"/>
  <c r="AB54" i="4"/>
  <c r="AB50" i="4"/>
  <c r="AB49" i="4"/>
  <c r="AB48" i="4"/>
  <c r="AA48" i="4"/>
  <c r="AA49" i="4" s="1"/>
  <c r="AA50" i="4" s="1"/>
  <c r="AA51" i="4" s="1"/>
  <c r="AA52" i="4" s="1"/>
  <c r="AA53" i="4" s="1"/>
  <c r="AA54" i="4" s="1"/>
  <c r="AA55" i="4" s="1"/>
  <c r="AA56" i="4" s="1"/>
  <c r="AA57" i="4" s="1"/>
  <c r="AA58" i="4" s="1"/>
  <c r="AA59" i="4" s="1"/>
  <c r="AA60" i="4" s="1"/>
  <c r="AA61" i="4" s="1"/>
  <c r="AA62" i="4" s="1"/>
  <c r="AA63" i="4" s="1"/>
  <c r="AA48" i="3"/>
  <c r="AA49" i="3" s="1"/>
  <c r="AA50" i="3" s="1"/>
  <c r="AA51" i="3" s="1"/>
  <c r="AB48" i="3"/>
  <c r="AB49" i="3"/>
  <c r="AB50" i="3"/>
  <c r="AB55" i="3"/>
  <c r="AB56" i="3"/>
  <c r="AB57" i="3"/>
  <c r="AB58" i="3"/>
  <c r="AB59" i="3"/>
  <c r="AB60" i="3"/>
  <c r="AB61" i="3"/>
  <c r="AB62" i="3"/>
  <c r="AB64" i="3"/>
  <c r="Y64" i="4"/>
  <c r="Y63" i="4"/>
  <c r="Y62" i="4"/>
  <c r="Y61" i="4"/>
  <c r="Y60" i="4"/>
  <c r="Y59" i="4"/>
  <c r="Y58" i="4"/>
  <c r="Y57" i="4"/>
  <c r="Y56" i="4"/>
  <c r="Y55" i="4"/>
  <c r="Y54" i="4"/>
  <c r="Y53" i="4"/>
  <c r="Y52" i="4"/>
  <c r="X51" i="4"/>
  <c r="X52" i="4" s="1"/>
  <c r="X53" i="4" s="1"/>
  <c r="X54" i="4" s="1"/>
  <c r="X55" i="4" s="1"/>
  <c r="X56" i="4" s="1"/>
  <c r="X57" i="4" s="1"/>
  <c r="X58" i="4" s="1"/>
  <c r="X59" i="4" s="1"/>
  <c r="X60" i="4" s="1"/>
  <c r="X61" i="4" s="1"/>
  <c r="X62" i="4" s="1"/>
  <c r="X63" i="4" s="1"/>
  <c r="V64" i="4"/>
  <c r="V63" i="4"/>
  <c r="V62" i="4"/>
  <c r="V61" i="4"/>
  <c r="V60" i="4"/>
  <c r="V59" i="4"/>
  <c r="V58" i="4"/>
  <c r="V57" i="4"/>
  <c r="V56" i="4"/>
  <c r="V55" i="4"/>
  <c r="V54" i="4"/>
  <c r="V53" i="4"/>
  <c r="V52" i="4"/>
  <c r="V51" i="4"/>
  <c r="U48" i="4"/>
  <c r="U49" i="4" s="1"/>
  <c r="U50" i="4" s="1"/>
  <c r="U51" i="4" s="1"/>
  <c r="U52" i="4" s="1"/>
  <c r="U53" i="4" s="1"/>
  <c r="U54" i="4" s="1"/>
  <c r="U55" i="4" s="1"/>
  <c r="U56" i="4" s="1"/>
  <c r="U57" i="4" s="1"/>
  <c r="U58" i="4" s="1"/>
  <c r="U59" i="4" s="1"/>
  <c r="U60" i="4" s="1"/>
  <c r="U61" i="4" s="1"/>
  <c r="U62" i="4" s="1"/>
  <c r="U63" i="4" s="1"/>
  <c r="S60" i="4"/>
  <c r="S64" i="4"/>
  <c r="R64" i="4"/>
  <c r="S63" i="4"/>
  <c r="S62" i="4"/>
  <c r="S61" i="4"/>
  <c r="S59" i="4"/>
  <c r="S58" i="4"/>
  <c r="S57" i="4"/>
  <c r="S56" i="4"/>
  <c r="S55" i="4"/>
  <c r="S54" i="4"/>
  <c r="S53" i="4"/>
  <c r="S52" i="4"/>
  <c r="S51" i="4"/>
  <c r="S50" i="4"/>
  <c r="S49" i="4"/>
  <c r="S48" i="4"/>
  <c r="S47" i="4"/>
  <c r="R47" i="4"/>
  <c r="R48" i="4" s="1"/>
  <c r="R49" i="4" s="1"/>
  <c r="R50" i="4" s="1"/>
  <c r="R51" i="4" s="1"/>
  <c r="R52" i="4" s="1"/>
  <c r="R53" i="4" s="1"/>
  <c r="R54" i="4" s="1"/>
  <c r="R55" i="4" s="1"/>
  <c r="R56" i="4" s="1"/>
  <c r="R57" i="4" s="1"/>
  <c r="R58" i="4" s="1"/>
  <c r="R59" i="4" s="1"/>
  <c r="R60" i="4" s="1"/>
  <c r="R61" i="4" s="1"/>
  <c r="R62" i="4" s="1"/>
  <c r="R63" i="4" s="1"/>
  <c r="P63" i="4"/>
  <c r="P62" i="4"/>
  <c r="P61" i="4"/>
  <c r="P60" i="4"/>
  <c r="P59" i="4"/>
  <c r="P58" i="4"/>
  <c r="P57" i="4"/>
  <c r="P56" i="4"/>
  <c r="P55" i="4"/>
  <c r="P54" i="4"/>
  <c r="P53" i="4"/>
  <c r="P52" i="4"/>
  <c r="P51" i="4"/>
  <c r="P50" i="4"/>
  <c r="P49" i="4"/>
  <c r="P48" i="4"/>
  <c r="O48" i="4"/>
  <c r="O49" i="4" s="1"/>
  <c r="O50" i="4" s="1"/>
  <c r="O51" i="4" s="1"/>
  <c r="O52" i="4" s="1"/>
  <c r="O53" i="4" s="1"/>
  <c r="O54" i="4" s="1"/>
  <c r="O55" i="4" s="1"/>
  <c r="O56" i="4" s="1"/>
  <c r="O57" i="4" s="1"/>
  <c r="O58" i="4" s="1"/>
  <c r="O59" i="4" s="1"/>
  <c r="O60" i="4" s="1"/>
  <c r="O61" i="4" s="1"/>
  <c r="O62" i="4" s="1"/>
  <c r="O63" i="4" s="1"/>
  <c r="P47" i="4"/>
  <c r="M64" i="4"/>
  <c r="M63" i="4"/>
  <c r="M62" i="4"/>
  <c r="M61" i="4"/>
  <c r="M60" i="4"/>
  <c r="M59" i="4"/>
  <c r="M58" i="4"/>
  <c r="M57" i="4"/>
  <c r="M56" i="4"/>
  <c r="M55" i="4"/>
  <c r="M54" i="4"/>
  <c r="M53" i="4"/>
  <c r="M52" i="4"/>
  <c r="M51" i="4"/>
  <c r="M50" i="4"/>
  <c r="M49" i="4"/>
  <c r="M48" i="4"/>
  <c r="M47" i="4"/>
  <c r="Y64" i="3"/>
  <c r="V64" i="3"/>
  <c r="S64" i="3"/>
  <c r="M64" i="3"/>
  <c r="M47" i="3"/>
  <c r="O47" i="3" s="1"/>
  <c r="O48" i="3" s="1"/>
  <c r="S48" i="3"/>
  <c r="U48" i="3" s="1"/>
  <c r="S47" i="3"/>
  <c r="M48" i="3"/>
  <c r="R64" i="3"/>
  <c r="C33" i="9" l="1"/>
  <c r="K33" i="9" s="1"/>
  <c r="C32" i="9"/>
  <c r="K32" i="9" s="1"/>
  <c r="C31" i="9"/>
  <c r="G31" i="9" s="1"/>
  <c r="K30" i="9"/>
  <c r="I30" i="9"/>
  <c r="H30" i="9"/>
  <c r="J30" i="9" s="1"/>
  <c r="G30" i="9"/>
  <c r="C30" i="9"/>
  <c r="E30" i="9" s="1"/>
  <c r="F30" i="9" s="1"/>
  <c r="C29" i="9"/>
  <c r="K29" i="9" s="1"/>
  <c r="C28" i="9"/>
  <c r="D28" i="9" s="1"/>
  <c r="C27" i="9"/>
  <c r="G27" i="9" s="1"/>
  <c r="K26" i="9"/>
  <c r="G26" i="9"/>
  <c r="C26" i="9"/>
  <c r="I26" i="9" s="1"/>
  <c r="C25" i="9"/>
  <c r="G25" i="9" s="1"/>
  <c r="C24" i="9"/>
  <c r="G24" i="9" s="1"/>
  <c r="K23" i="9"/>
  <c r="I23" i="9"/>
  <c r="H23" i="9"/>
  <c r="J23" i="9" s="1"/>
  <c r="G23" i="9"/>
  <c r="C23" i="9"/>
  <c r="E23" i="9" s="1"/>
  <c r="F23" i="9" s="1"/>
  <c r="C22" i="9"/>
  <c r="K22" i="9" s="1"/>
  <c r="C21" i="9"/>
  <c r="D21" i="9" s="1"/>
  <c r="C20" i="9"/>
  <c r="I20" i="9" s="1"/>
  <c r="K19" i="9"/>
  <c r="G19" i="9"/>
  <c r="C19" i="9"/>
  <c r="I19" i="9" s="1"/>
  <c r="C18" i="9"/>
  <c r="K18" i="9" s="1"/>
  <c r="C17" i="9"/>
  <c r="E17" i="9" s="1"/>
  <c r="F17" i="9" s="1"/>
  <c r="K16" i="9"/>
  <c r="I16" i="9"/>
  <c r="H16" i="9"/>
  <c r="J16" i="9" s="1"/>
  <c r="G16" i="9"/>
  <c r="E16" i="9"/>
  <c r="F16" i="9" s="1"/>
  <c r="C16" i="9"/>
  <c r="D16" i="9" s="1"/>
  <c r="K15" i="9"/>
  <c r="E15" i="9"/>
  <c r="F15" i="9" s="1"/>
  <c r="C15" i="9"/>
  <c r="I15" i="9" s="1"/>
  <c r="C14" i="9"/>
  <c r="G14" i="9" s="1"/>
  <c r="C13" i="9"/>
  <c r="G13" i="9" s="1"/>
  <c r="K12" i="9"/>
  <c r="I12" i="9"/>
  <c r="G12" i="9"/>
  <c r="E12" i="9"/>
  <c r="F12" i="9" s="1"/>
  <c r="C12" i="9"/>
  <c r="H12" i="9" s="1"/>
  <c r="J12" i="9" s="1"/>
  <c r="C11" i="9"/>
  <c r="E11" i="9" s="1"/>
  <c r="F11" i="9" s="1"/>
  <c r="C10" i="9"/>
  <c r="D10" i="9" s="1"/>
  <c r="K9" i="9"/>
  <c r="I9" i="9"/>
  <c r="H9" i="9"/>
  <c r="J9" i="9" s="1"/>
  <c r="G9" i="9"/>
  <c r="E9" i="9"/>
  <c r="F9" i="9" s="1"/>
  <c r="D9" i="9"/>
  <c r="C9" i="9"/>
  <c r="K8" i="9"/>
  <c r="I8" i="9"/>
  <c r="D8" i="9"/>
  <c r="C8" i="9"/>
  <c r="H8" i="9" s="1"/>
  <c r="J8" i="9" s="1"/>
  <c r="C7" i="9"/>
  <c r="E7" i="9" s="1"/>
  <c r="F7" i="9" s="1"/>
  <c r="C6" i="9"/>
  <c r="G6" i="9" s="1"/>
  <c r="K5" i="9"/>
  <c r="I5" i="9"/>
  <c r="H5" i="9"/>
  <c r="J5" i="9" s="1"/>
  <c r="E5" i="9"/>
  <c r="F5" i="9" s="1"/>
  <c r="D5" i="9"/>
  <c r="C5" i="9"/>
  <c r="G5" i="9" s="1"/>
  <c r="C33" i="5"/>
  <c r="K33" i="5" s="1"/>
  <c r="C32" i="5"/>
  <c r="K32" i="5" s="1"/>
  <c r="C31" i="5"/>
  <c r="D31" i="5" s="1"/>
  <c r="K30" i="5"/>
  <c r="I30" i="5"/>
  <c r="H30" i="5"/>
  <c r="J30" i="5" s="1"/>
  <c r="G30" i="5"/>
  <c r="C30" i="5"/>
  <c r="E30" i="5" s="1"/>
  <c r="F30" i="5" s="1"/>
  <c r="C29" i="5"/>
  <c r="K29" i="5" s="1"/>
  <c r="C28" i="5"/>
  <c r="I28" i="5" s="1"/>
  <c r="C27" i="5"/>
  <c r="H27" i="5" s="1"/>
  <c r="J27" i="5" s="1"/>
  <c r="K26" i="5"/>
  <c r="C26" i="5"/>
  <c r="I26" i="5" s="1"/>
  <c r="C25" i="5"/>
  <c r="E25" i="5" s="1"/>
  <c r="F25" i="5" s="1"/>
  <c r="C24" i="5"/>
  <c r="K24" i="5" s="1"/>
  <c r="K23" i="5"/>
  <c r="I23" i="5"/>
  <c r="H23" i="5"/>
  <c r="J23" i="5" s="1"/>
  <c r="G23" i="5"/>
  <c r="C23" i="5"/>
  <c r="E23" i="5" s="1"/>
  <c r="F23" i="5" s="1"/>
  <c r="G22" i="5"/>
  <c r="C22" i="5"/>
  <c r="K22" i="5" s="1"/>
  <c r="C21" i="5"/>
  <c r="G21" i="5" s="1"/>
  <c r="C20" i="5"/>
  <c r="E20" i="5" s="1"/>
  <c r="F20" i="5" s="1"/>
  <c r="K19" i="5"/>
  <c r="G19" i="5"/>
  <c r="C19" i="5"/>
  <c r="I19" i="5" s="1"/>
  <c r="C18" i="5"/>
  <c r="K18" i="5" s="1"/>
  <c r="C17" i="5"/>
  <c r="H17" i="5" s="1"/>
  <c r="J17" i="5" s="1"/>
  <c r="K16" i="5"/>
  <c r="I16" i="5"/>
  <c r="H16" i="5"/>
  <c r="J16" i="5" s="1"/>
  <c r="G16" i="5"/>
  <c r="E16" i="5"/>
  <c r="F16" i="5" s="1"/>
  <c r="C16" i="5"/>
  <c r="D16" i="5" s="1"/>
  <c r="K15" i="5"/>
  <c r="C15" i="5"/>
  <c r="I15" i="5" s="1"/>
  <c r="C14" i="5"/>
  <c r="G14" i="5" s="1"/>
  <c r="C13" i="5"/>
  <c r="E13" i="5" s="1"/>
  <c r="F13" i="5" s="1"/>
  <c r="K12" i="5"/>
  <c r="I12" i="5"/>
  <c r="G12" i="5"/>
  <c r="F12" i="5"/>
  <c r="E12" i="5"/>
  <c r="C12" i="5"/>
  <c r="H12" i="5" s="1"/>
  <c r="J12" i="5" s="1"/>
  <c r="C11" i="5"/>
  <c r="K11" i="5" s="1"/>
  <c r="C10" i="5"/>
  <c r="K10" i="5" s="1"/>
  <c r="K9" i="5"/>
  <c r="I9" i="5"/>
  <c r="H9" i="5"/>
  <c r="J9" i="5" s="1"/>
  <c r="G9" i="5"/>
  <c r="E9" i="5"/>
  <c r="F9" i="5" s="1"/>
  <c r="D9" i="5"/>
  <c r="C9" i="5"/>
  <c r="K8" i="5"/>
  <c r="I8" i="5"/>
  <c r="E8" i="5"/>
  <c r="F8" i="5" s="1"/>
  <c r="C8" i="5"/>
  <c r="H8" i="5" s="1"/>
  <c r="J8" i="5" s="1"/>
  <c r="C7" i="5"/>
  <c r="E7" i="5" s="1"/>
  <c r="F7" i="5" s="1"/>
  <c r="C6" i="5"/>
  <c r="H6" i="5" s="1"/>
  <c r="J6" i="5" s="1"/>
  <c r="K5" i="5"/>
  <c r="I5" i="5"/>
  <c r="H5" i="5"/>
  <c r="J5" i="5" s="1"/>
  <c r="G5" i="5"/>
  <c r="E5" i="5"/>
  <c r="F5" i="5" s="1"/>
  <c r="D5" i="5"/>
  <c r="C5" i="5"/>
  <c r="E33" i="12"/>
  <c r="F33" i="12" s="1"/>
  <c r="C33" i="12"/>
  <c r="K33" i="12" s="1"/>
  <c r="C32" i="12"/>
  <c r="D32" i="12" s="1"/>
  <c r="C31" i="12"/>
  <c r="H31" i="12" s="1"/>
  <c r="J31" i="12" s="1"/>
  <c r="K30" i="12"/>
  <c r="I30" i="12"/>
  <c r="H30" i="12"/>
  <c r="J30" i="12" s="1"/>
  <c r="G30" i="12"/>
  <c r="C30" i="12"/>
  <c r="E30" i="12" s="1"/>
  <c r="F30" i="12" s="1"/>
  <c r="I29" i="12"/>
  <c r="G29" i="12"/>
  <c r="E29" i="12"/>
  <c r="F29" i="12" s="1"/>
  <c r="C29" i="12"/>
  <c r="K29" i="12" s="1"/>
  <c r="C28" i="12"/>
  <c r="I28" i="12" s="1"/>
  <c r="C27" i="12"/>
  <c r="G27" i="12" s="1"/>
  <c r="K26" i="12"/>
  <c r="G26" i="12"/>
  <c r="D26" i="12"/>
  <c r="C26" i="12"/>
  <c r="I26" i="12" s="1"/>
  <c r="C25" i="12"/>
  <c r="K25" i="12" s="1"/>
  <c r="C24" i="12"/>
  <c r="D24" i="12" s="1"/>
  <c r="K23" i="12"/>
  <c r="I23" i="12"/>
  <c r="H23" i="12"/>
  <c r="J23" i="12" s="1"/>
  <c r="G23" i="12"/>
  <c r="C23" i="12"/>
  <c r="E23" i="12" s="1"/>
  <c r="F23" i="12" s="1"/>
  <c r="K22" i="12"/>
  <c r="H22" i="12"/>
  <c r="J22" i="12" s="1"/>
  <c r="D22" i="12"/>
  <c r="C22" i="12"/>
  <c r="I22" i="12" s="1"/>
  <c r="C21" i="12"/>
  <c r="I21" i="12" s="1"/>
  <c r="C20" i="12"/>
  <c r="K20" i="12" s="1"/>
  <c r="K19" i="12"/>
  <c r="C19" i="12"/>
  <c r="I19" i="12" s="1"/>
  <c r="C18" i="12"/>
  <c r="D18" i="12" s="1"/>
  <c r="C17" i="12"/>
  <c r="G17" i="12" s="1"/>
  <c r="K16" i="12"/>
  <c r="I16" i="12"/>
  <c r="H16" i="12"/>
  <c r="J16" i="12" s="1"/>
  <c r="G16" i="12"/>
  <c r="E16" i="12"/>
  <c r="F16" i="12" s="1"/>
  <c r="C16" i="12"/>
  <c r="D16" i="12" s="1"/>
  <c r="C15" i="12"/>
  <c r="G15" i="12" s="1"/>
  <c r="C14" i="12"/>
  <c r="H14" i="12" s="1"/>
  <c r="J14" i="12" s="1"/>
  <c r="C13" i="12"/>
  <c r="G13" i="12" s="1"/>
  <c r="K12" i="12"/>
  <c r="I12" i="12"/>
  <c r="G12" i="12"/>
  <c r="E12" i="12"/>
  <c r="F12" i="12" s="1"/>
  <c r="C12" i="12"/>
  <c r="H12" i="12" s="1"/>
  <c r="J12" i="12" s="1"/>
  <c r="C11" i="12"/>
  <c r="K11" i="12" s="1"/>
  <c r="C10" i="12"/>
  <c r="D10" i="12" s="1"/>
  <c r="K9" i="12"/>
  <c r="I9" i="12"/>
  <c r="H9" i="12"/>
  <c r="J9" i="12" s="1"/>
  <c r="G9" i="12"/>
  <c r="E9" i="12"/>
  <c r="F9" i="12" s="1"/>
  <c r="D9" i="12"/>
  <c r="C9" i="12"/>
  <c r="K8" i="12"/>
  <c r="I8" i="12"/>
  <c r="D8" i="12"/>
  <c r="C8" i="12"/>
  <c r="H8" i="12" s="1"/>
  <c r="J8" i="12" s="1"/>
  <c r="C7" i="12"/>
  <c r="E7" i="12" s="1"/>
  <c r="F7" i="12" s="1"/>
  <c r="C6" i="12"/>
  <c r="I6" i="12" s="1"/>
  <c r="K5" i="12"/>
  <c r="I5" i="12"/>
  <c r="H5" i="12"/>
  <c r="J5" i="12" s="1"/>
  <c r="D5" i="12"/>
  <c r="C5" i="12"/>
  <c r="G5" i="12" s="1"/>
  <c r="E33" i="11"/>
  <c r="F33" i="11" s="1"/>
  <c r="C33" i="11"/>
  <c r="K33" i="11" s="1"/>
  <c r="C32" i="11"/>
  <c r="E32" i="11" s="1"/>
  <c r="F32" i="11" s="1"/>
  <c r="C31" i="11"/>
  <c r="K31" i="11" s="1"/>
  <c r="K30" i="11"/>
  <c r="I30" i="11"/>
  <c r="H30" i="11"/>
  <c r="J30" i="11" s="1"/>
  <c r="G30" i="11"/>
  <c r="C30" i="11"/>
  <c r="E30" i="11" s="1"/>
  <c r="F30" i="11" s="1"/>
  <c r="C29" i="11"/>
  <c r="K29" i="11" s="1"/>
  <c r="C28" i="11"/>
  <c r="E28" i="11" s="1"/>
  <c r="F28" i="11" s="1"/>
  <c r="D27" i="11"/>
  <c r="C27" i="11"/>
  <c r="K27" i="11" s="1"/>
  <c r="K26" i="11"/>
  <c r="G26" i="11"/>
  <c r="D26" i="11"/>
  <c r="C26" i="11"/>
  <c r="I26" i="11" s="1"/>
  <c r="C25" i="11"/>
  <c r="D25" i="11" s="1"/>
  <c r="C24" i="11"/>
  <c r="K24" i="11" s="1"/>
  <c r="K23" i="11"/>
  <c r="I23" i="11"/>
  <c r="H23" i="11"/>
  <c r="J23" i="11" s="1"/>
  <c r="G23" i="11"/>
  <c r="C23" i="11"/>
  <c r="E23" i="11" s="1"/>
  <c r="F23" i="11" s="1"/>
  <c r="K22" i="11"/>
  <c r="H22" i="11"/>
  <c r="J22" i="11" s="1"/>
  <c r="D22" i="11"/>
  <c r="C22" i="11"/>
  <c r="I22" i="11" s="1"/>
  <c r="C21" i="11"/>
  <c r="G21" i="11" s="1"/>
  <c r="C20" i="11"/>
  <c r="I20" i="11" s="1"/>
  <c r="K19" i="11"/>
  <c r="C19" i="11"/>
  <c r="I19" i="11" s="1"/>
  <c r="C18" i="11"/>
  <c r="K18" i="11" s="1"/>
  <c r="C17" i="11"/>
  <c r="I17" i="11" s="1"/>
  <c r="K16" i="11"/>
  <c r="I16" i="11"/>
  <c r="H16" i="11"/>
  <c r="J16" i="11" s="1"/>
  <c r="G16" i="11"/>
  <c r="E16" i="11"/>
  <c r="F16" i="11" s="1"/>
  <c r="C16" i="11"/>
  <c r="D16" i="11" s="1"/>
  <c r="G15" i="11"/>
  <c r="C15" i="11"/>
  <c r="K15" i="11" s="1"/>
  <c r="C14" i="11"/>
  <c r="G14" i="11" s="1"/>
  <c r="C13" i="11"/>
  <c r="E13" i="11" s="1"/>
  <c r="F13" i="11" s="1"/>
  <c r="K12" i="11"/>
  <c r="I12" i="11"/>
  <c r="E12" i="11"/>
  <c r="F12" i="11" s="1"/>
  <c r="C12" i="11"/>
  <c r="H12" i="11" s="1"/>
  <c r="J12" i="11" s="1"/>
  <c r="C11" i="11"/>
  <c r="K11" i="11" s="1"/>
  <c r="C10" i="11"/>
  <c r="H10" i="11" s="1"/>
  <c r="J10" i="11" s="1"/>
  <c r="K9" i="11"/>
  <c r="I9" i="11"/>
  <c r="H9" i="11"/>
  <c r="J9" i="11" s="1"/>
  <c r="G9" i="11"/>
  <c r="E9" i="11"/>
  <c r="F9" i="11" s="1"/>
  <c r="D9" i="11"/>
  <c r="C9" i="11"/>
  <c r="I8" i="11"/>
  <c r="C8" i="11"/>
  <c r="K8" i="11" s="1"/>
  <c r="C7" i="11"/>
  <c r="D7" i="11" s="1"/>
  <c r="C6" i="11"/>
  <c r="E6" i="11" s="1"/>
  <c r="F6" i="11" s="1"/>
  <c r="K5" i="11"/>
  <c r="I5" i="11"/>
  <c r="H5" i="11"/>
  <c r="J5" i="11" s="1"/>
  <c r="E5" i="11"/>
  <c r="F5" i="11" s="1"/>
  <c r="D5" i="11"/>
  <c r="C5" i="11"/>
  <c r="G5" i="11" s="1"/>
  <c r="C33" i="4"/>
  <c r="K33" i="4" s="1"/>
  <c r="C32" i="4"/>
  <c r="D32" i="4" s="1"/>
  <c r="C31" i="4"/>
  <c r="E31" i="4" s="1"/>
  <c r="F31" i="4" s="1"/>
  <c r="K30" i="4"/>
  <c r="I30" i="4"/>
  <c r="H30" i="4"/>
  <c r="J30" i="4" s="1"/>
  <c r="G30" i="4"/>
  <c r="C30" i="4"/>
  <c r="E30" i="4" s="1"/>
  <c r="F30" i="4" s="1"/>
  <c r="C29" i="4"/>
  <c r="K29" i="4" s="1"/>
  <c r="C28" i="4"/>
  <c r="D28" i="4" s="1"/>
  <c r="C27" i="4"/>
  <c r="D27" i="4" s="1"/>
  <c r="K26" i="4"/>
  <c r="G26" i="4"/>
  <c r="C26" i="4"/>
  <c r="I26" i="4" s="1"/>
  <c r="C25" i="4"/>
  <c r="D25" i="4" s="1"/>
  <c r="C24" i="4"/>
  <c r="G24" i="4" s="1"/>
  <c r="K23" i="4"/>
  <c r="I23" i="4"/>
  <c r="H23" i="4"/>
  <c r="J23" i="4" s="1"/>
  <c r="G23" i="4"/>
  <c r="C23" i="4"/>
  <c r="E23" i="4" s="1"/>
  <c r="F23" i="4" s="1"/>
  <c r="C22" i="4"/>
  <c r="K22" i="4" s="1"/>
  <c r="C21" i="4"/>
  <c r="I21" i="4" s="1"/>
  <c r="C20" i="4"/>
  <c r="G20" i="4" s="1"/>
  <c r="K19" i="4"/>
  <c r="C19" i="4"/>
  <c r="I19" i="4" s="1"/>
  <c r="C18" i="4"/>
  <c r="G18" i="4" s="1"/>
  <c r="C17" i="4"/>
  <c r="I17" i="4" s="1"/>
  <c r="K16" i="4"/>
  <c r="I16" i="4"/>
  <c r="H16" i="4"/>
  <c r="J16" i="4" s="1"/>
  <c r="G16" i="4"/>
  <c r="E16" i="4"/>
  <c r="F16" i="4" s="1"/>
  <c r="C16" i="4"/>
  <c r="D16" i="4" s="1"/>
  <c r="C15" i="4"/>
  <c r="K15" i="4" s="1"/>
  <c r="C14" i="4"/>
  <c r="I14" i="4" s="1"/>
  <c r="C13" i="4"/>
  <c r="H13" i="4" s="1"/>
  <c r="J13" i="4" s="1"/>
  <c r="K12" i="4"/>
  <c r="I12" i="4"/>
  <c r="E12" i="4"/>
  <c r="F12" i="4" s="1"/>
  <c r="C12" i="4"/>
  <c r="H12" i="4" s="1"/>
  <c r="J12" i="4" s="1"/>
  <c r="C11" i="4"/>
  <c r="K11" i="4" s="1"/>
  <c r="C10" i="4"/>
  <c r="H10" i="4" s="1"/>
  <c r="J10" i="4" s="1"/>
  <c r="K9" i="4"/>
  <c r="I9" i="4"/>
  <c r="H9" i="4"/>
  <c r="J9" i="4" s="1"/>
  <c r="G9" i="4"/>
  <c r="E9" i="4"/>
  <c r="F9" i="4" s="1"/>
  <c r="D9" i="4"/>
  <c r="C9" i="4"/>
  <c r="I8" i="4"/>
  <c r="C8" i="4"/>
  <c r="K8" i="4" s="1"/>
  <c r="C7" i="4"/>
  <c r="D7" i="4" s="1"/>
  <c r="C6" i="4"/>
  <c r="D6" i="4" s="1"/>
  <c r="K5" i="4"/>
  <c r="I5" i="4"/>
  <c r="H5" i="4"/>
  <c r="J5" i="4" s="1"/>
  <c r="D5" i="4"/>
  <c r="C5" i="4"/>
  <c r="G5" i="4" s="1"/>
  <c r="I31" i="9" l="1"/>
  <c r="D6" i="9"/>
  <c r="E6" i="9"/>
  <c r="F6" i="9" s="1"/>
  <c r="H20" i="9"/>
  <c r="J20" i="9" s="1"/>
  <c r="H24" i="9"/>
  <c r="J24" i="9" s="1"/>
  <c r="H10" i="9"/>
  <c r="J10" i="9" s="1"/>
  <c r="D14" i="9"/>
  <c r="I17" i="9"/>
  <c r="E21" i="9"/>
  <c r="F21" i="9" s="1"/>
  <c r="K31" i="9"/>
  <c r="G20" i="9"/>
  <c r="D17" i="9"/>
  <c r="H6" i="9"/>
  <c r="J6" i="9" s="1"/>
  <c r="E28" i="9"/>
  <c r="F28" i="9" s="1"/>
  <c r="D7" i="9"/>
  <c r="I10" i="9"/>
  <c r="E14" i="9"/>
  <c r="F14" i="9" s="1"/>
  <c r="K24" i="9"/>
  <c r="G28" i="9"/>
  <c r="H28" i="9"/>
  <c r="J28" i="9" s="1"/>
  <c r="D32" i="9"/>
  <c r="H21" i="9"/>
  <c r="J21" i="9" s="1"/>
  <c r="D25" i="9"/>
  <c r="I28" i="9"/>
  <c r="E32" i="9"/>
  <c r="F32" i="9" s="1"/>
  <c r="H14" i="9"/>
  <c r="J14" i="9" s="1"/>
  <c r="D18" i="9"/>
  <c r="I21" i="9"/>
  <c r="E25" i="9"/>
  <c r="F25" i="9" s="1"/>
  <c r="H7" i="9"/>
  <c r="J7" i="9" s="1"/>
  <c r="D11" i="9"/>
  <c r="I14" i="9"/>
  <c r="E18" i="9"/>
  <c r="F18" i="9" s="1"/>
  <c r="K28" i="9"/>
  <c r="G32" i="9"/>
  <c r="H32" i="9"/>
  <c r="J32" i="9" s="1"/>
  <c r="H25" i="9"/>
  <c r="J25" i="9" s="1"/>
  <c r="D29" i="9"/>
  <c r="I32" i="9"/>
  <c r="D27" i="9"/>
  <c r="I27" i="9"/>
  <c r="G17" i="9"/>
  <c r="K17" i="9"/>
  <c r="K7" i="9"/>
  <c r="G11" i="9"/>
  <c r="H18" i="9"/>
  <c r="J18" i="9" s="1"/>
  <c r="D22" i="9"/>
  <c r="I25" i="9"/>
  <c r="E29" i="9"/>
  <c r="F29" i="9" s="1"/>
  <c r="E31" i="9"/>
  <c r="F31" i="9" s="1"/>
  <c r="H31" i="9"/>
  <c r="J31" i="9" s="1"/>
  <c r="G10" i="9"/>
  <c r="G18" i="9"/>
  <c r="H11" i="9"/>
  <c r="J11" i="9" s="1"/>
  <c r="D15" i="9"/>
  <c r="I18" i="9"/>
  <c r="E22" i="9"/>
  <c r="F22" i="9" s="1"/>
  <c r="K20" i="9"/>
  <c r="H17" i="9"/>
  <c r="J17" i="9" s="1"/>
  <c r="G7" i="9"/>
  <c r="K21" i="9"/>
  <c r="I11" i="9"/>
  <c r="K25" i="9"/>
  <c r="G29" i="9"/>
  <c r="D31" i="9"/>
  <c r="E24" i="9"/>
  <c r="F24" i="9" s="1"/>
  <c r="I7" i="9"/>
  <c r="E8" i="9"/>
  <c r="F8" i="9" s="1"/>
  <c r="G22" i="9"/>
  <c r="H29" i="9"/>
  <c r="J29" i="9" s="1"/>
  <c r="D33" i="9"/>
  <c r="D13" i="9"/>
  <c r="K27" i="9"/>
  <c r="G21" i="9"/>
  <c r="K11" i="9"/>
  <c r="G15" i="9"/>
  <c r="H22" i="9"/>
  <c r="J22" i="9" s="1"/>
  <c r="D26" i="9"/>
  <c r="I29" i="9"/>
  <c r="E33" i="9"/>
  <c r="F33" i="9" s="1"/>
  <c r="D20" i="9"/>
  <c r="D24" i="9"/>
  <c r="E10" i="9"/>
  <c r="F10" i="9" s="1"/>
  <c r="I24" i="9"/>
  <c r="K10" i="9"/>
  <c r="G8" i="9"/>
  <c r="H15" i="9"/>
  <c r="J15" i="9" s="1"/>
  <c r="D19" i="9"/>
  <c r="I22" i="9"/>
  <c r="E26" i="9"/>
  <c r="F26" i="9" s="1"/>
  <c r="E20" i="9"/>
  <c r="F20" i="9" s="1"/>
  <c r="I13" i="9"/>
  <c r="K14" i="9"/>
  <c r="D12" i="9"/>
  <c r="E19" i="9"/>
  <c r="F19" i="9" s="1"/>
  <c r="G33" i="9"/>
  <c r="H27" i="9"/>
  <c r="J27" i="9" s="1"/>
  <c r="I6" i="9"/>
  <c r="K13" i="9"/>
  <c r="H33" i="9"/>
  <c r="J33" i="9" s="1"/>
  <c r="E27" i="9"/>
  <c r="F27" i="9" s="1"/>
  <c r="H13" i="9"/>
  <c r="J13" i="9" s="1"/>
  <c r="H26" i="9"/>
  <c r="J26" i="9" s="1"/>
  <c r="D30" i="9"/>
  <c r="I33" i="9"/>
  <c r="K6" i="9"/>
  <c r="H19" i="9"/>
  <c r="J19" i="9" s="1"/>
  <c r="D23" i="9"/>
  <c r="E13" i="9"/>
  <c r="F13" i="9" s="1"/>
  <c r="K31" i="5"/>
  <c r="H28" i="5"/>
  <c r="J28" i="5" s="1"/>
  <c r="D32" i="5"/>
  <c r="D25" i="5"/>
  <c r="E32" i="5"/>
  <c r="F32" i="5" s="1"/>
  <c r="G32" i="5"/>
  <c r="D18" i="5"/>
  <c r="D11" i="5"/>
  <c r="E18" i="5"/>
  <c r="F18" i="5" s="1"/>
  <c r="I7" i="5"/>
  <c r="E11" i="5"/>
  <c r="F11" i="5" s="1"/>
  <c r="K21" i="5"/>
  <c r="G25" i="5"/>
  <c r="H32" i="5"/>
  <c r="J32" i="5" s="1"/>
  <c r="E27" i="5"/>
  <c r="F27" i="5" s="1"/>
  <c r="G27" i="5"/>
  <c r="I27" i="5"/>
  <c r="G31" i="5"/>
  <c r="H14" i="5"/>
  <c r="J14" i="5" s="1"/>
  <c r="I14" i="5"/>
  <c r="K14" i="5"/>
  <c r="G18" i="5"/>
  <c r="H25" i="5"/>
  <c r="J25" i="5" s="1"/>
  <c r="D29" i="5"/>
  <c r="I32" i="5"/>
  <c r="G20" i="5"/>
  <c r="I20" i="5"/>
  <c r="D10" i="5"/>
  <c r="E10" i="5"/>
  <c r="F10" i="5" s="1"/>
  <c r="K13" i="5"/>
  <c r="K6" i="5"/>
  <c r="H10" i="5"/>
  <c r="J10" i="5" s="1"/>
  <c r="E14" i="5"/>
  <c r="F14" i="5" s="1"/>
  <c r="G7" i="5"/>
  <c r="K7" i="5"/>
  <c r="G11" i="5"/>
  <c r="H18" i="5"/>
  <c r="J18" i="5" s="1"/>
  <c r="D22" i="5"/>
  <c r="I25" i="5"/>
  <c r="E29" i="5"/>
  <c r="F29" i="5" s="1"/>
  <c r="E24" i="5"/>
  <c r="F24" i="5" s="1"/>
  <c r="H31" i="5"/>
  <c r="J31" i="5" s="1"/>
  <c r="I10" i="5"/>
  <c r="H21" i="5"/>
  <c r="J21" i="5" s="1"/>
  <c r="H11" i="5"/>
  <c r="J11" i="5" s="1"/>
  <c r="D15" i="5"/>
  <c r="I18" i="5"/>
  <c r="E22" i="5"/>
  <c r="F22" i="5" s="1"/>
  <c r="D27" i="5"/>
  <c r="D6" i="5"/>
  <c r="E6" i="5"/>
  <c r="F6" i="5" s="1"/>
  <c r="H20" i="5"/>
  <c r="J20" i="5" s="1"/>
  <c r="E17" i="5"/>
  <c r="F17" i="5" s="1"/>
  <c r="H24" i="5"/>
  <c r="J24" i="5" s="1"/>
  <c r="G28" i="5"/>
  <c r="K28" i="5"/>
  <c r="D8" i="5"/>
  <c r="I11" i="5"/>
  <c r="E15" i="5"/>
  <c r="F15" i="5" s="1"/>
  <c r="K25" i="5"/>
  <c r="G29" i="5"/>
  <c r="D17" i="5"/>
  <c r="D28" i="5"/>
  <c r="D14" i="5"/>
  <c r="K17" i="5"/>
  <c r="H29" i="5"/>
  <c r="J29" i="5" s="1"/>
  <c r="D33" i="5"/>
  <c r="E31" i="5"/>
  <c r="F31" i="5" s="1"/>
  <c r="K27" i="5"/>
  <c r="G10" i="5"/>
  <c r="E21" i="5"/>
  <c r="F21" i="5" s="1"/>
  <c r="D7" i="5"/>
  <c r="I21" i="5"/>
  <c r="H7" i="5"/>
  <c r="J7" i="5" s="1"/>
  <c r="G15" i="5"/>
  <c r="H22" i="5"/>
  <c r="J22" i="5" s="1"/>
  <c r="D26" i="5"/>
  <c r="I29" i="5"/>
  <c r="E33" i="5"/>
  <c r="F33" i="5" s="1"/>
  <c r="D13" i="5"/>
  <c r="G24" i="5"/>
  <c r="D21" i="5"/>
  <c r="G8" i="5"/>
  <c r="H15" i="5"/>
  <c r="J15" i="5" s="1"/>
  <c r="D19" i="5"/>
  <c r="I22" i="5"/>
  <c r="E26" i="5"/>
  <c r="F26" i="5" s="1"/>
  <c r="G13" i="5"/>
  <c r="G6" i="5"/>
  <c r="I13" i="5"/>
  <c r="I6" i="5"/>
  <c r="I31" i="5"/>
  <c r="I17" i="5"/>
  <c r="D12" i="5"/>
  <c r="E19" i="5"/>
  <c r="F19" i="5" s="1"/>
  <c r="G33" i="5"/>
  <c r="D20" i="5"/>
  <c r="H13" i="5"/>
  <c r="J13" i="5" s="1"/>
  <c r="K20" i="5"/>
  <c r="I24" i="5"/>
  <c r="G26" i="5"/>
  <c r="H33" i="5"/>
  <c r="J33" i="5" s="1"/>
  <c r="D24" i="5"/>
  <c r="G17" i="5"/>
  <c r="H26" i="5"/>
  <c r="J26" i="5" s="1"/>
  <c r="D30" i="5"/>
  <c r="I33" i="5"/>
  <c r="H19" i="5"/>
  <c r="J19" i="5" s="1"/>
  <c r="D23" i="5"/>
  <c r="E28" i="5"/>
  <c r="F28" i="5" s="1"/>
  <c r="D31" i="12"/>
  <c r="E17" i="12"/>
  <c r="F17" i="12" s="1"/>
  <c r="H17" i="12"/>
  <c r="J17" i="12" s="1"/>
  <c r="K31" i="12"/>
  <c r="K17" i="12"/>
  <c r="E13" i="12"/>
  <c r="F13" i="12" s="1"/>
  <c r="H13" i="12"/>
  <c r="J13" i="12" s="1"/>
  <c r="H6" i="12"/>
  <c r="J6" i="12" s="1"/>
  <c r="G24" i="12"/>
  <c r="K6" i="12"/>
  <c r="H10" i="12"/>
  <c r="J10" i="12" s="1"/>
  <c r="I10" i="12"/>
  <c r="H7" i="12"/>
  <c r="J7" i="12" s="1"/>
  <c r="I14" i="12"/>
  <c r="K28" i="12"/>
  <c r="I7" i="12"/>
  <c r="E11" i="12"/>
  <c r="F11" i="12" s="1"/>
  <c r="K21" i="12"/>
  <c r="G25" i="12"/>
  <c r="H32" i="12"/>
  <c r="J32" i="12" s="1"/>
  <c r="K24" i="12"/>
  <c r="D25" i="12"/>
  <c r="D11" i="12"/>
  <c r="E18" i="12"/>
  <c r="F18" i="12" s="1"/>
  <c r="G32" i="12"/>
  <c r="K14" i="12"/>
  <c r="G18" i="12"/>
  <c r="H25" i="12"/>
  <c r="J25" i="12" s="1"/>
  <c r="D29" i="12"/>
  <c r="I32" i="12"/>
  <c r="G31" i="12"/>
  <c r="D28" i="12"/>
  <c r="K7" i="12"/>
  <c r="G11" i="12"/>
  <c r="H18" i="12"/>
  <c r="J18" i="12" s="1"/>
  <c r="I25" i="12"/>
  <c r="K27" i="12"/>
  <c r="I31" i="12"/>
  <c r="H28" i="12"/>
  <c r="J28" i="12" s="1"/>
  <c r="H11" i="12"/>
  <c r="J11" i="12" s="1"/>
  <c r="D15" i="12"/>
  <c r="I18" i="12"/>
  <c r="E22" i="12"/>
  <c r="F22" i="12" s="1"/>
  <c r="K32" i="12"/>
  <c r="D20" i="12"/>
  <c r="I27" i="12"/>
  <c r="D21" i="12"/>
  <c r="E25" i="12"/>
  <c r="F25" i="12" s="1"/>
  <c r="I11" i="12"/>
  <c r="E15" i="12"/>
  <c r="F15" i="12" s="1"/>
  <c r="H27" i="12"/>
  <c r="J27" i="12" s="1"/>
  <c r="E10" i="12"/>
  <c r="F10" i="12" s="1"/>
  <c r="E28" i="12"/>
  <c r="F28" i="12" s="1"/>
  <c r="G28" i="12"/>
  <c r="K10" i="12"/>
  <c r="G7" i="12"/>
  <c r="E8" i="12"/>
  <c r="F8" i="12" s="1"/>
  <c r="K18" i="12"/>
  <c r="G22" i="12"/>
  <c r="H29" i="12"/>
  <c r="J29" i="12" s="1"/>
  <c r="D33" i="12"/>
  <c r="E20" i="12"/>
  <c r="F20" i="12" s="1"/>
  <c r="G20" i="12"/>
  <c r="I20" i="12"/>
  <c r="K13" i="12"/>
  <c r="G10" i="12"/>
  <c r="I17" i="12"/>
  <c r="E32" i="12"/>
  <c r="F32" i="12" s="1"/>
  <c r="G8" i="12"/>
  <c r="H15" i="12"/>
  <c r="J15" i="12" s="1"/>
  <c r="D19" i="12"/>
  <c r="E26" i="12"/>
  <c r="F26" i="12" s="1"/>
  <c r="D13" i="12"/>
  <c r="D6" i="12"/>
  <c r="D17" i="12"/>
  <c r="H24" i="12"/>
  <c r="J24" i="12" s="1"/>
  <c r="E21" i="12"/>
  <c r="F21" i="12" s="1"/>
  <c r="G21" i="12"/>
  <c r="D12" i="12"/>
  <c r="I15" i="12"/>
  <c r="E19" i="12"/>
  <c r="F19" i="12" s="1"/>
  <c r="G33" i="12"/>
  <c r="E6" i="12"/>
  <c r="F6" i="12" s="1"/>
  <c r="H20" i="12"/>
  <c r="J20" i="12" s="1"/>
  <c r="G6" i="12"/>
  <c r="H21" i="12"/>
  <c r="J21" i="12" s="1"/>
  <c r="H33" i="12"/>
  <c r="J33" i="12" s="1"/>
  <c r="E31" i="12"/>
  <c r="F31" i="12" s="1"/>
  <c r="I13" i="12"/>
  <c r="D14" i="12"/>
  <c r="D7" i="12"/>
  <c r="E5" i="12"/>
  <c r="F5" i="12" s="1"/>
  <c r="K15" i="12"/>
  <c r="G19" i="12"/>
  <c r="H26" i="12"/>
  <c r="J26" i="12" s="1"/>
  <c r="D30" i="12"/>
  <c r="I33" i="12"/>
  <c r="D27" i="12"/>
  <c r="E24" i="12"/>
  <c r="F24" i="12" s="1"/>
  <c r="I24" i="12"/>
  <c r="E14" i="12"/>
  <c r="F14" i="12" s="1"/>
  <c r="G14" i="12"/>
  <c r="H19" i="12"/>
  <c r="J19" i="12" s="1"/>
  <c r="D23" i="12"/>
  <c r="E27" i="12"/>
  <c r="F27" i="12" s="1"/>
  <c r="D31" i="11"/>
  <c r="G6" i="11"/>
  <c r="D17" i="11"/>
  <c r="G10" i="11"/>
  <c r="E21" i="11"/>
  <c r="F21" i="11" s="1"/>
  <c r="H32" i="11"/>
  <c r="J32" i="11" s="1"/>
  <c r="H13" i="11"/>
  <c r="J13" i="11" s="1"/>
  <c r="H6" i="11"/>
  <c r="J6" i="11" s="1"/>
  <c r="H24" i="11"/>
  <c r="J24" i="11" s="1"/>
  <c r="D14" i="11"/>
  <c r="K10" i="11"/>
  <c r="H14" i="11"/>
  <c r="J14" i="11" s="1"/>
  <c r="G32" i="11"/>
  <c r="K14" i="11"/>
  <c r="G18" i="11"/>
  <c r="H25" i="11"/>
  <c r="J25" i="11" s="1"/>
  <c r="D29" i="11"/>
  <c r="I32" i="11"/>
  <c r="I6" i="11"/>
  <c r="K13" i="11"/>
  <c r="I10" i="11"/>
  <c r="K17" i="11"/>
  <c r="G7" i="11"/>
  <c r="I14" i="11"/>
  <c r="E29" i="11"/>
  <c r="F29" i="11" s="1"/>
  <c r="H20" i="11"/>
  <c r="J20" i="11" s="1"/>
  <c r="D10" i="11"/>
  <c r="E10" i="11"/>
  <c r="F10" i="11" s="1"/>
  <c r="D21" i="11"/>
  <c r="E7" i="11"/>
  <c r="F7" i="11" s="1"/>
  <c r="E25" i="11"/>
  <c r="F25" i="11" s="1"/>
  <c r="E18" i="11"/>
  <c r="F18" i="11" s="1"/>
  <c r="I7" i="11"/>
  <c r="H11" i="11"/>
  <c r="J11" i="11" s="1"/>
  <c r="D15" i="11"/>
  <c r="I18" i="11"/>
  <c r="E22" i="11"/>
  <c r="F22" i="11" s="1"/>
  <c r="K32" i="11"/>
  <c r="H31" i="11"/>
  <c r="J31" i="11" s="1"/>
  <c r="I21" i="11"/>
  <c r="H7" i="11"/>
  <c r="J7" i="11" s="1"/>
  <c r="K28" i="11"/>
  <c r="G25" i="11"/>
  <c r="K7" i="11"/>
  <c r="H18" i="11"/>
  <c r="J18" i="11" s="1"/>
  <c r="I25" i="11"/>
  <c r="I11" i="11"/>
  <c r="K25" i="11"/>
  <c r="G28" i="11"/>
  <c r="H21" i="11"/>
  <c r="J21" i="11" s="1"/>
  <c r="D18" i="11"/>
  <c r="D11" i="11"/>
  <c r="E11" i="11"/>
  <c r="F11" i="11" s="1"/>
  <c r="K21" i="11"/>
  <c r="G11" i="11"/>
  <c r="D8" i="11"/>
  <c r="E15" i="11"/>
  <c r="F15" i="11" s="1"/>
  <c r="G29" i="11"/>
  <c r="E8" i="11"/>
  <c r="F8" i="11" s="1"/>
  <c r="G22" i="11"/>
  <c r="H29" i="11"/>
  <c r="J29" i="11" s="1"/>
  <c r="D33" i="11"/>
  <c r="G27" i="11"/>
  <c r="E31" i="11"/>
  <c r="F31" i="11" s="1"/>
  <c r="I13" i="11"/>
  <c r="I31" i="11"/>
  <c r="H28" i="11"/>
  <c r="J28" i="11" s="1"/>
  <c r="D20" i="11"/>
  <c r="G13" i="11"/>
  <c r="G31" i="11"/>
  <c r="D28" i="11"/>
  <c r="D32" i="11"/>
  <c r="I29" i="11"/>
  <c r="G8" i="11"/>
  <c r="H15" i="11"/>
  <c r="J15" i="11" s="1"/>
  <c r="D19" i="11"/>
  <c r="E26" i="11"/>
  <c r="F26" i="11" s="1"/>
  <c r="E27" i="11"/>
  <c r="F27" i="11" s="1"/>
  <c r="E20" i="11"/>
  <c r="F20" i="11" s="1"/>
  <c r="D6" i="11"/>
  <c r="H27" i="11"/>
  <c r="J27" i="11" s="1"/>
  <c r="E24" i="11"/>
  <c r="F24" i="11" s="1"/>
  <c r="K20" i="11"/>
  <c r="G17" i="11"/>
  <c r="K6" i="11"/>
  <c r="H8" i="11"/>
  <c r="J8" i="11" s="1"/>
  <c r="D12" i="11"/>
  <c r="I15" i="11"/>
  <c r="E19" i="11"/>
  <c r="F19" i="11" s="1"/>
  <c r="G33" i="11"/>
  <c r="D13" i="11"/>
  <c r="I27" i="11"/>
  <c r="E17" i="11"/>
  <c r="F17" i="11" s="1"/>
  <c r="H17" i="11"/>
  <c r="J17" i="11" s="1"/>
  <c r="H33" i="11"/>
  <c r="J33" i="11" s="1"/>
  <c r="G20" i="11"/>
  <c r="I28" i="11"/>
  <c r="H26" i="11"/>
  <c r="J26" i="11" s="1"/>
  <c r="D30" i="11"/>
  <c r="I33" i="11"/>
  <c r="D24" i="11"/>
  <c r="E14" i="11"/>
  <c r="F14" i="11" s="1"/>
  <c r="G19" i="11"/>
  <c r="G12" i="11"/>
  <c r="H19" i="11"/>
  <c r="J19" i="11" s="1"/>
  <c r="D23" i="11"/>
  <c r="G24" i="11"/>
  <c r="I24" i="11"/>
  <c r="K20" i="4"/>
  <c r="D20" i="4"/>
  <c r="D13" i="4"/>
  <c r="E20" i="4"/>
  <c r="F20" i="4" s="1"/>
  <c r="D31" i="4"/>
  <c r="I20" i="4"/>
  <c r="D10" i="4"/>
  <c r="I6" i="4"/>
  <c r="G28" i="4"/>
  <c r="H21" i="4"/>
  <c r="J21" i="4" s="1"/>
  <c r="H14" i="4"/>
  <c r="J14" i="4" s="1"/>
  <c r="G25" i="4"/>
  <c r="H32" i="4"/>
  <c r="J32" i="4" s="1"/>
  <c r="E32" i="4"/>
  <c r="F32" i="4" s="1"/>
  <c r="E18" i="4"/>
  <c r="F18" i="4" s="1"/>
  <c r="H25" i="4"/>
  <c r="J25" i="4" s="1"/>
  <c r="D29" i="4"/>
  <c r="I32" i="4"/>
  <c r="H20" i="4"/>
  <c r="J20" i="4" s="1"/>
  <c r="I31" i="4"/>
  <c r="K31" i="4"/>
  <c r="E7" i="4"/>
  <c r="F7" i="4" s="1"/>
  <c r="G21" i="4"/>
  <c r="G32" i="4"/>
  <c r="I7" i="4"/>
  <c r="I25" i="4"/>
  <c r="E29" i="4"/>
  <c r="F29" i="4" s="1"/>
  <c r="I27" i="4"/>
  <c r="H31" i="4"/>
  <c r="J31" i="4" s="1"/>
  <c r="K21" i="4"/>
  <c r="H11" i="4"/>
  <c r="J11" i="4" s="1"/>
  <c r="E22" i="4"/>
  <c r="F22" i="4" s="1"/>
  <c r="K32" i="4"/>
  <c r="E27" i="4"/>
  <c r="F27" i="4" s="1"/>
  <c r="G27" i="4"/>
  <c r="G13" i="4"/>
  <c r="K27" i="4"/>
  <c r="H24" i="4"/>
  <c r="J24" i="4" s="1"/>
  <c r="D21" i="4"/>
  <c r="H28" i="4"/>
  <c r="J28" i="4" s="1"/>
  <c r="K10" i="4"/>
  <c r="E25" i="4"/>
  <c r="F25" i="4" s="1"/>
  <c r="H7" i="4"/>
  <c r="J7" i="4" s="1"/>
  <c r="K28" i="4"/>
  <c r="K14" i="4"/>
  <c r="D8" i="4"/>
  <c r="E15" i="4"/>
  <c r="F15" i="4" s="1"/>
  <c r="K25" i="4"/>
  <c r="G29" i="4"/>
  <c r="G6" i="4"/>
  <c r="G10" i="4"/>
  <c r="E21" i="4"/>
  <c r="F21" i="4" s="1"/>
  <c r="K24" i="4"/>
  <c r="G14" i="4"/>
  <c r="E11" i="4"/>
  <c r="F11" i="4" s="1"/>
  <c r="G11" i="4"/>
  <c r="H18" i="4"/>
  <c r="J18" i="4" s="1"/>
  <c r="I18" i="4"/>
  <c r="I11" i="4"/>
  <c r="E8" i="4"/>
  <c r="F8" i="4" s="1"/>
  <c r="K18" i="4"/>
  <c r="G22" i="4"/>
  <c r="H29" i="4"/>
  <c r="J29" i="4" s="1"/>
  <c r="D33" i="4"/>
  <c r="H27" i="4"/>
  <c r="J27" i="4" s="1"/>
  <c r="D17" i="4"/>
  <c r="I13" i="4"/>
  <c r="E10" i="4"/>
  <c r="F10" i="4" s="1"/>
  <c r="G17" i="4"/>
  <c r="I24" i="4"/>
  <c r="D14" i="4"/>
  <c r="I10" i="4"/>
  <c r="K17" i="4"/>
  <c r="I28" i="4"/>
  <c r="D18" i="4"/>
  <c r="D11" i="4"/>
  <c r="H22" i="4"/>
  <c r="J22" i="4" s="1"/>
  <c r="D26" i="4"/>
  <c r="I29" i="4"/>
  <c r="E33" i="4"/>
  <c r="F33" i="4" s="1"/>
  <c r="D24" i="4"/>
  <c r="G31" i="4"/>
  <c r="K6" i="4"/>
  <c r="G7" i="4"/>
  <c r="K7" i="4"/>
  <c r="D22" i="4"/>
  <c r="D15" i="4"/>
  <c r="G15" i="4"/>
  <c r="G8" i="4"/>
  <c r="H15" i="4"/>
  <c r="J15" i="4" s="1"/>
  <c r="D19" i="4"/>
  <c r="I22" i="4"/>
  <c r="E26" i="4"/>
  <c r="F26" i="4" s="1"/>
  <c r="E28" i="4"/>
  <c r="F28" i="4" s="1"/>
  <c r="E14" i="4"/>
  <c r="F14" i="4" s="1"/>
  <c r="H8" i="4"/>
  <c r="J8" i="4" s="1"/>
  <c r="D12" i="4"/>
  <c r="I15" i="4"/>
  <c r="E19" i="4"/>
  <c r="F19" i="4" s="1"/>
  <c r="G33" i="4"/>
  <c r="E24" i="4"/>
  <c r="F24" i="4" s="1"/>
  <c r="H6" i="4"/>
  <c r="J6" i="4" s="1"/>
  <c r="H33" i="4"/>
  <c r="J33" i="4" s="1"/>
  <c r="E13" i="4"/>
  <c r="F13" i="4" s="1"/>
  <c r="H26" i="4"/>
  <c r="J26" i="4" s="1"/>
  <c r="D30" i="4"/>
  <c r="I33" i="4"/>
  <c r="E6" i="4"/>
  <c r="F6" i="4" s="1"/>
  <c r="E17" i="4"/>
  <c r="F17" i="4" s="1"/>
  <c r="K13" i="4"/>
  <c r="G19" i="4"/>
  <c r="G12" i="4"/>
  <c r="H19" i="4"/>
  <c r="J19" i="4" s="1"/>
  <c r="D23" i="4"/>
  <c r="H17" i="4"/>
  <c r="J17" i="4" s="1"/>
  <c r="E5" i="4"/>
  <c r="F5" i="4" s="1"/>
  <c r="T42" i="4"/>
  <c r="M42" i="4"/>
  <c r="AB47" i="4" s="1"/>
  <c r="AD47" i="4" s="1"/>
  <c r="AD48" i="4" s="1"/>
  <c r="AD49" i="4" s="1"/>
  <c r="AD50" i="4" s="1"/>
  <c r="AD51" i="4" s="1"/>
  <c r="AD52" i="4" s="1"/>
  <c r="AD53" i="4" s="1"/>
  <c r="AD54" i="4" s="1"/>
  <c r="AD55" i="4" s="1"/>
  <c r="AD56" i="4" s="1"/>
  <c r="AD57" i="4" s="1"/>
  <c r="AD58" i="4" s="1"/>
  <c r="AD59" i="4" s="1"/>
  <c r="AD60" i="4" s="1"/>
  <c r="AD61" i="4" s="1"/>
  <c r="AD62" i="4" s="1"/>
  <c r="AD63" i="4" s="1"/>
  <c r="AB54" i="3"/>
  <c r="S51" i="3"/>
  <c r="AB47" i="3"/>
  <c r="AD47" i="3" s="1"/>
  <c r="AD48" i="3" s="1"/>
  <c r="AD49" i="3" s="1"/>
  <c r="AD50" i="3" s="1"/>
  <c r="AD51" i="3" s="1"/>
  <c r="AD52" i="3" s="1"/>
  <c r="AD53" i="3" s="1"/>
  <c r="AD54" i="3" l="1"/>
  <c r="AD55" i="3" s="1"/>
  <c r="AD56" i="3" s="1"/>
  <c r="AD57" i="3" s="1"/>
  <c r="AD58" i="3" s="1"/>
  <c r="AD59" i="3" s="1"/>
  <c r="AD60" i="3" s="1"/>
  <c r="M36" i="11"/>
  <c r="AC65" i="12" l="1"/>
  <c r="Z65" i="12"/>
  <c r="W65" i="12"/>
  <c r="T65" i="12"/>
  <c r="Q65" i="12"/>
  <c r="N65" i="12"/>
  <c r="L64" i="12"/>
  <c r="L63" i="12"/>
  <c r="L62" i="12"/>
  <c r="L61" i="12"/>
  <c r="L60" i="12"/>
  <c r="L59" i="12"/>
  <c r="L58" i="12"/>
  <c r="L57" i="12"/>
  <c r="L56" i="12"/>
  <c r="AB65" i="12"/>
  <c r="L55" i="12"/>
  <c r="L54" i="12"/>
  <c r="L53" i="12"/>
  <c r="Y65" i="12"/>
  <c r="L52" i="12"/>
  <c r="V65" i="12"/>
  <c r="S65" i="12"/>
  <c r="P65" i="12"/>
  <c r="M65" i="12"/>
  <c r="L51" i="12"/>
  <c r="L50" i="12"/>
  <c r="L49" i="12"/>
  <c r="L48" i="12"/>
  <c r="L47" i="12"/>
  <c r="AC42" i="12"/>
  <c r="AD38" i="12"/>
  <c r="AC36" i="12"/>
  <c r="AB36" i="12"/>
  <c r="AA36" i="12"/>
  <c r="Z36" i="12"/>
  <c r="Y36" i="12"/>
  <c r="X36" i="12"/>
  <c r="W36" i="12"/>
  <c r="V36" i="12"/>
  <c r="U36" i="12"/>
  <c r="T36" i="12"/>
  <c r="S36" i="12"/>
  <c r="R36" i="12"/>
  <c r="Q36" i="12"/>
  <c r="P36" i="12"/>
  <c r="O36" i="12"/>
  <c r="N36" i="12"/>
  <c r="M36" i="12"/>
  <c r="L33" i="12"/>
  <c r="L32" i="12"/>
  <c r="L31" i="12"/>
  <c r="L30" i="12"/>
  <c r="L29" i="12"/>
  <c r="L28" i="12"/>
  <c r="L27" i="12"/>
  <c r="L26" i="12"/>
  <c r="L25" i="12"/>
  <c r="L24" i="12"/>
  <c r="L23" i="12"/>
  <c r="L22" i="12"/>
  <c r="L21" i="12"/>
  <c r="L20" i="12"/>
  <c r="L19" i="12"/>
  <c r="L18" i="12"/>
  <c r="L17" i="12"/>
  <c r="L16" i="12"/>
  <c r="L15" i="12"/>
  <c r="L14" i="12"/>
  <c r="L13" i="12"/>
  <c r="L12" i="12"/>
  <c r="L11" i="12"/>
  <c r="L10" i="12"/>
  <c r="L9" i="12"/>
  <c r="L8" i="12"/>
  <c r="L7" i="12"/>
  <c r="L6" i="12"/>
  <c r="L5" i="12"/>
  <c r="AC65" i="11"/>
  <c r="Z65" i="11"/>
  <c r="W65" i="11"/>
  <c r="T65" i="11"/>
  <c r="Q65" i="11"/>
  <c r="N65" i="11"/>
  <c r="L64" i="11"/>
  <c r="L63" i="11"/>
  <c r="L62" i="11"/>
  <c r="L61" i="11"/>
  <c r="L60" i="11"/>
  <c r="L59" i="11"/>
  <c r="L58" i="11"/>
  <c r="L57" i="11"/>
  <c r="L56" i="11"/>
  <c r="L55" i="11"/>
  <c r="L54" i="11"/>
  <c r="L53" i="11"/>
  <c r="L52" i="11"/>
  <c r="L51" i="11"/>
  <c r="L50" i="11"/>
  <c r="L49" i="11"/>
  <c r="L48" i="11"/>
  <c r="L47" i="11"/>
  <c r="AC42" i="11"/>
  <c r="AD38" i="11"/>
  <c r="AC36" i="11"/>
  <c r="AB36" i="11"/>
  <c r="AA36" i="11"/>
  <c r="Z36" i="11"/>
  <c r="Y36" i="11"/>
  <c r="X36" i="11"/>
  <c r="W36" i="11"/>
  <c r="V36" i="11"/>
  <c r="U36" i="11"/>
  <c r="T36" i="11"/>
  <c r="S36" i="11"/>
  <c r="R36" i="11"/>
  <c r="Q36" i="11"/>
  <c r="P36" i="11"/>
  <c r="O36" i="11"/>
  <c r="N36" i="11"/>
  <c r="L33" i="11"/>
  <c r="L32" i="11"/>
  <c r="L31" i="11"/>
  <c r="L30" i="11"/>
  <c r="L29" i="11"/>
  <c r="L28" i="11"/>
  <c r="L27" i="11"/>
  <c r="L26" i="11"/>
  <c r="L25" i="11"/>
  <c r="L24" i="11"/>
  <c r="L23" i="11"/>
  <c r="L22" i="11"/>
  <c r="L21" i="11"/>
  <c r="L20" i="11"/>
  <c r="L19" i="11"/>
  <c r="L18" i="11"/>
  <c r="L17" i="11"/>
  <c r="L16" i="11"/>
  <c r="L15" i="11"/>
  <c r="L14" i="11"/>
  <c r="L13" i="11"/>
  <c r="L12" i="11"/>
  <c r="L11" i="11"/>
  <c r="L10" i="11"/>
  <c r="L9" i="11"/>
  <c r="L8" i="11"/>
  <c r="L7" i="11"/>
  <c r="L6" i="11"/>
  <c r="L5" i="11"/>
  <c r="D21" i="10"/>
  <c r="D20" i="10"/>
  <c r="D19" i="10"/>
  <c r="D18" i="10"/>
  <c r="D17" i="10"/>
  <c r="D16" i="10"/>
  <c r="D15" i="10"/>
  <c r="D14" i="10"/>
  <c r="D13" i="10"/>
  <c r="D12" i="10"/>
  <c r="D11" i="10"/>
  <c r="D10" i="10"/>
  <c r="D9" i="10"/>
  <c r="D8" i="10"/>
  <c r="D7" i="10"/>
  <c r="D6" i="10"/>
  <c r="D5" i="10"/>
  <c r="D4" i="10"/>
  <c r="D21" i="7"/>
  <c r="D20" i="7"/>
  <c r="D19" i="7"/>
  <c r="D18" i="7"/>
  <c r="D17" i="7"/>
  <c r="D16" i="7"/>
  <c r="D15" i="7"/>
  <c r="D14" i="7"/>
  <c r="D13" i="7"/>
  <c r="D12" i="7"/>
  <c r="D11" i="7"/>
  <c r="D10" i="7"/>
  <c r="D9" i="7"/>
  <c r="D8" i="7"/>
  <c r="D7" i="7"/>
  <c r="D6" i="7"/>
  <c r="D5" i="7"/>
  <c r="D4" i="7"/>
  <c r="C22" i="7"/>
  <c r="O22" i="10"/>
  <c r="N22" i="10"/>
  <c r="M22" i="10"/>
  <c r="L22" i="10"/>
  <c r="K22" i="10"/>
  <c r="J22" i="10"/>
  <c r="I22" i="10"/>
  <c r="H22" i="10"/>
  <c r="G22" i="10"/>
  <c r="F22" i="10"/>
  <c r="E22" i="10"/>
  <c r="C22" i="10"/>
  <c r="J22" i="7"/>
  <c r="H22" i="7"/>
  <c r="I22" i="7"/>
  <c r="C8" i="3"/>
  <c r="C9" i="3"/>
  <c r="C10" i="3"/>
  <c r="C11" i="3"/>
  <c r="C12" i="3"/>
  <c r="C13" i="3"/>
  <c r="C14" i="3"/>
  <c r="C15" i="3"/>
  <c r="C16" i="3"/>
  <c r="C17" i="3"/>
  <c r="C18" i="3"/>
  <c r="C19" i="3"/>
  <c r="C20" i="3"/>
  <c r="C21" i="3"/>
  <c r="C22" i="3"/>
  <c r="C23" i="3"/>
  <c r="C24" i="3"/>
  <c r="C25" i="3"/>
  <c r="C26" i="3"/>
  <c r="C27" i="3"/>
  <c r="C28" i="3"/>
  <c r="C29" i="3"/>
  <c r="C30" i="3"/>
  <c r="C31" i="3"/>
  <c r="D22" i="7" l="1"/>
  <c r="H25" i="3"/>
  <c r="J25" i="3" s="1"/>
  <c r="K25" i="3"/>
  <c r="H23" i="3"/>
  <c r="J23" i="3" s="1"/>
  <c r="K23" i="3"/>
  <c r="H28" i="3"/>
  <c r="J28" i="3" s="1"/>
  <c r="K28" i="3"/>
  <c r="K20" i="3"/>
  <c r="H20" i="3"/>
  <c r="J20" i="3" s="1"/>
  <c r="K12" i="3"/>
  <c r="H12" i="3"/>
  <c r="J12" i="3" s="1"/>
  <c r="K24" i="3"/>
  <c r="H24" i="3"/>
  <c r="J24" i="3" s="1"/>
  <c r="K19" i="3"/>
  <c r="H19" i="3"/>
  <c r="J19" i="3" s="1"/>
  <c r="K10" i="3"/>
  <c r="H10" i="3"/>
  <c r="J10" i="3" s="1"/>
  <c r="H30" i="3"/>
  <c r="J30" i="3" s="1"/>
  <c r="K30" i="3"/>
  <c r="H22" i="3"/>
  <c r="J22" i="3" s="1"/>
  <c r="K22" i="3"/>
  <c r="H15" i="3"/>
  <c r="J15" i="3" s="1"/>
  <c r="K15" i="3"/>
  <c r="K26" i="3"/>
  <c r="H26" i="3"/>
  <c r="J26" i="3" s="1"/>
  <c r="H21" i="3"/>
  <c r="J21" i="3" s="1"/>
  <c r="K21" i="3"/>
  <c r="H17" i="3"/>
  <c r="J17" i="3" s="1"/>
  <c r="K17" i="3"/>
  <c r="H11" i="3"/>
  <c r="J11" i="3" s="1"/>
  <c r="K11" i="3"/>
  <c r="K29" i="3"/>
  <c r="H29" i="3"/>
  <c r="J29" i="3" s="1"/>
  <c r="K16" i="3"/>
  <c r="H16" i="3"/>
  <c r="J16" i="3" s="1"/>
  <c r="H13" i="3"/>
  <c r="J13" i="3" s="1"/>
  <c r="K13" i="3"/>
  <c r="K8" i="3"/>
  <c r="H8" i="3"/>
  <c r="J8" i="3" s="1"/>
  <c r="H27" i="3"/>
  <c r="J27" i="3" s="1"/>
  <c r="K27" i="3"/>
  <c r="K18" i="3"/>
  <c r="H18" i="3"/>
  <c r="J18" i="3" s="1"/>
  <c r="K14" i="3"/>
  <c r="H14" i="3"/>
  <c r="J14" i="3" s="1"/>
  <c r="K9" i="3"/>
  <c r="H9" i="3"/>
  <c r="J9" i="3" s="1"/>
  <c r="H31" i="3"/>
  <c r="J31" i="3" s="1"/>
  <c r="K31" i="3"/>
  <c r="E23" i="3"/>
  <c r="G23" i="3"/>
  <c r="G20" i="3"/>
  <c r="E20" i="3"/>
  <c r="E29" i="3"/>
  <c r="G29" i="3"/>
  <c r="E19" i="3"/>
  <c r="G19" i="3"/>
  <c r="E27" i="3"/>
  <c r="G27" i="3"/>
  <c r="G18" i="3"/>
  <c r="E18" i="3"/>
  <c r="G17" i="3"/>
  <c r="E17" i="3"/>
  <c r="E31" i="3"/>
  <c r="G31" i="3"/>
  <c r="E16" i="3"/>
  <c r="G16" i="3"/>
  <c r="G28" i="3"/>
  <c r="E28" i="3"/>
  <c r="E15" i="3"/>
  <c r="G15" i="3"/>
  <c r="G30" i="3"/>
  <c r="E30" i="3"/>
  <c r="G14" i="3"/>
  <c r="E14" i="3"/>
  <c r="G21" i="3"/>
  <c r="E21" i="3"/>
  <c r="G13" i="3"/>
  <c r="E13" i="3"/>
  <c r="G26" i="3"/>
  <c r="E26" i="3"/>
  <c r="E12" i="3"/>
  <c r="G12" i="3"/>
  <c r="G11" i="3"/>
  <c r="E11" i="3"/>
  <c r="G25" i="3"/>
  <c r="E25" i="3"/>
  <c r="E10" i="3"/>
  <c r="G10" i="3"/>
  <c r="G24" i="3"/>
  <c r="E24" i="3"/>
  <c r="G9" i="3"/>
  <c r="E9" i="3"/>
  <c r="E22" i="3"/>
  <c r="G22" i="3"/>
  <c r="E8" i="3"/>
  <c r="G8" i="3"/>
  <c r="I31" i="3"/>
  <c r="D31" i="3"/>
  <c r="I23" i="3"/>
  <c r="D23" i="3"/>
  <c r="I20" i="3"/>
  <c r="D20" i="3"/>
  <c r="I19" i="3"/>
  <c r="D19" i="3"/>
  <c r="I30" i="3"/>
  <c r="D30" i="3"/>
  <c r="I28" i="3"/>
  <c r="D28" i="3"/>
  <c r="I26" i="3"/>
  <c r="D26" i="3"/>
  <c r="I18" i="3"/>
  <c r="D18" i="3"/>
  <c r="I27" i="3"/>
  <c r="D27" i="3"/>
  <c r="I24" i="3"/>
  <c r="D24" i="3"/>
  <c r="I17" i="3"/>
  <c r="D17" i="3"/>
  <c r="I16" i="3"/>
  <c r="D16" i="3"/>
  <c r="I15" i="3"/>
  <c r="D15" i="3"/>
  <c r="I25" i="3"/>
  <c r="D25" i="3"/>
  <c r="I14" i="3"/>
  <c r="D14" i="3"/>
  <c r="I22" i="3"/>
  <c r="D22" i="3"/>
  <c r="I13" i="3"/>
  <c r="D13" i="3"/>
  <c r="I21" i="3"/>
  <c r="D21" i="3"/>
  <c r="I12" i="3"/>
  <c r="D12" i="3"/>
  <c r="I11" i="3"/>
  <c r="D11" i="3"/>
  <c r="I10" i="3"/>
  <c r="D10" i="3"/>
  <c r="I29" i="3"/>
  <c r="D29" i="3"/>
  <c r="I9" i="3"/>
  <c r="D9" i="3"/>
  <c r="I8" i="3"/>
  <c r="D8" i="3"/>
  <c r="AB65" i="11"/>
  <c r="M65" i="11"/>
  <c r="P65" i="11"/>
  <c r="S65" i="11"/>
  <c r="Y65" i="11"/>
  <c r="V65" i="11"/>
  <c r="D22" i="10"/>
  <c r="AC65" i="9"/>
  <c r="Z65" i="9"/>
  <c r="W65" i="9"/>
  <c r="T65" i="9"/>
  <c r="Q65" i="9"/>
  <c r="N65" i="9"/>
  <c r="L64" i="9"/>
  <c r="L63" i="9"/>
  <c r="L62" i="9"/>
  <c r="L61" i="9"/>
  <c r="L60" i="9"/>
  <c r="L59" i="9"/>
  <c r="L58" i="9"/>
  <c r="L57" i="9"/>
  <c r="L56" i="9"/>
  <c r="L55" i="9"/>
  <c r="L54" i="9"/>
  <c r="L53" i="9"/>
  <c r="L52" i="9"/>
  <c r="L51" i="9"/>
  <c r="L50" i="9"/>
  <c r="L49" i="9"/>
  <c r="L48" i="9"/>
  <c r="L47" i="9"/>
  <c r="AC42" i="9"/>
  <c r="AD38" i="9"/>
  <c r="AC36" i="9"/>
  <c r="AB36" i="9"/>
  <c r="AA36" i="9"/>
  <c r="Z36" i="9"/>
  <c r="Y36" i="9"/>
  <c r="X36" i="9"/>
  <c r="W36" i="9"/>
  <c r="V36" i="9"/>
  <c r="U36" i="9"/>
  <c r="S36" i="9"/>
  <c r="R36" i="9"/>
  <c r="Q36" i="9"/>
  <c r="P36" i="9"/>
  <c r="O36" i="9"/>
  <c r="N36" i="9"/>
  <c r="M36" i="9"/>
  <c r="AD34" i="9"/>
  <c r="AC34" i="9"/>
  <c r="AB34" i="9"/>
  <c r="AA34" i="9"/>
  <c r="Z34" i="9"/>
  <c r="Y34" i="9"/>
  <c r="X34" i="9"/>
  <c r="W34" i="9"/>
  <c r="V34" i="9"/>
  <c r="U34" i="9"/>
  <c r="S34" i="9"/>
  <c r="R34" i="9"/>
  <c r="Q34" i="9"/>
  <c r="P34" i="9"/>
  <c r="O34" i="9"/>
  <c r="N34" i="9"/>
  <c r="M34" i="9"/>
  <c r="L33" i="9"/>
  <c r="L32" i="9"/>
  <c r="L31" i="9"/>
  <c r="L30" i="9"/>
  <c r="L29" i="9"/>
  <c r="L28" i="9"/>
  <c r="L27" i="9"/>
  <c r="L26" i="9"/>
  <c r="L25" i="9"/>
  <c r="L24" i="9"/>
  <c r="L23" i="9"/>
  <c r="L22" i="9"/>
  <c r="L21" i="9"/>
  <c r="L20" i="9"/>
  <c r="L19" i="9"/>
  <c r="T18" i="9"/>
  <c r="T36" i="9" s="1"/>
  <c r="L18" i="9"/>
  <c r="L17" i="9"/>
  <c r="L16" i="9"/>
  <c r="L15" i="9"/>
  <c r="L14" i="9"/>
  <c r="L13" i="9"/>
  <c r="L12" i="9"/>
  <c r="L11" i="9"/>
  <c r="L10" i="9"/>
  <c r="L9" i="9"/>
  <c r="L8" i="9"/>
  <c r="L7" i="9"/>
  <c r="L6" i="9"/>
  <c r="L5" i="9"/>
  <c r="V65" i="9" l="1"/>
  <c r="Y65" i="9"/>
  <c r="P65" i="9"/>
  <c r="M65" i="9"/>
  <c r="AB65" i="9"/>
  <c r="T34" i="9"/>
  <c r="S65" i="9"/>
  <c r="C33" i="3"/>
  <c r="C32" i="3"/>
  <c r="C7" i="3"/>
  <c r="C6" i="3"/>
  <c r="C5" i="3"/>
  <c r="T18" i="5"/>
  <c r="F22" i="7"/>
  <c r="K22" i="7"/>
  <c r="L22" i="7"/>
  <c r="M22" i="7"/>
  <c r="N22" i="7"/>
  <c r="O22" i="7"/>
  <c r="E22" i="7"/>
  <c r="G22" i="7"/>
  <c r="K6" i="3" l="1"/>
  <c r="H6" i="3"/>
  <c r="J6" i="3" s="1"/>
  <c r="K5" i="3"/>
  <c r="H5" i="3"/>
  <c r="J5" i="3" s="1"/>
  <c r="K7" i="3"/>
  <c r="H7" i="3"/>
  <c r="J7" i="3" s="1"/>
  <c r="H32" i="3"/>
  <c r="J32" i="3" s="1"/>
  <c r="K32" i="3"/>
  <c r="H33" i="3"/>
  <c r="J33" i="3" s="1"/>
  <c r="K33" i="3"/>
  <c r="G5" i="3"/>
  <c r="E5" i="3"/>
  <c r="F5" i="3" s="1"/>
  <c r="G7" i="3"/>
  <c r="E7" i="3"/>
  <c r="E33" i="3"/>
  <c r="F33" i="3" s="1"/>
  <c r="G33" i="3"/>
  <c r="E32" i="3"/>
  <c r="F32" i="3" s="1"/>
  <c r="G32" i="3"/>
  <c r="G6" i="3"/>
  <c r="E6" i="3"/>
  <c r="F6" i="3" s="1"/>
  <c r="I5" i="3"/>
  <c r="D5" i="3"/>
  <c r="I6" i="3"/>
  <c r="D6" i="3"/>
  <c r="X36" i="3" s="1"/>
  <c r="I32" i="3"/>
  <c r="D32" i="3"/>
  <c r="I7" i="3"/>
  <c r="D7" i="3"/>
  <c r="M36" i="3" s="1"/>
  <c r="I33" i="3"/>
  <c r="D33" i="3"/>
  <c r="R11" i="2"/>
  <c r="R12" i="2" s="1"/>
  <c r="R13" i="2" s="1"/>
  <c r="R14" i="2" s="1"/>
  <c r="R15" i="2" s="1"/>
  <c r="R16" i="2" s="1"/>
  <c r="R17" i="2" s="1"/>
  <c r="R18" i="2" s="1"/>
  <c r="R19" i="2" s="1"/>
  <c r="R20" i="2" s="1"/>
  <c r="R21" i="2" s="1"/>
  <c r="R22" i="2" s="1"/>
  <c r="R23" i="2" s="1"/>
  <c r="R24" i="2" s="1"/>
  <c r="R25" i="2" s="1"/>
  <c r="R26" i="2" s="1"/>
  <c r="S11" i="2"/>
  <c r="S12" i="2" s="1"/>
  <c r="S13" i="2" s="1"/>
  <c r="S14" i="2" s="1"/>
  <c r="S15" i="2" s="1"/>
  <c r="S16" i="2" s="1"/>
  <c r="S17" i="2" s="1"/>
  <c r="S18" i="2" s="1"/>
  <c r="S19" i="2" s="1"/>
  <c r="S20" i="2" s="1"/>
  <c r="S21" i="2" s="1"/>
  <c r="S22" i="2" s="1"/>
  <c r="S23" i="2" s="1"/>
  <c r="S24" i="2" s="1"/>
  <c r="S25" i="2" s="1"/>
  <c r="S26" i="2" s="1"/>
  <c r="X11" i="2"/>
  <c r="X12" i="2" s="1"/>
  <c r="X13" i="2" s="1"/>
  <c r="X14" i="2" s="1"/>
  <c r="X15" i="2" s="1"/>
  <c r="X16" i="2" s="1"/>
  <c r="X17" i="2" s="1"/>
  <c r="X18" i="2" s="1"/>
  <c r="X19" i="2" s="1"/>
  <c r="X20" i="2" s="1"/>
  <c r="X21" i="2" s="1"/>
  <c r="X22" i="2" s="1"/>
  <c r="X23" i="2" s="1"/>
  <c r="X24" i="2" s="1"/>
  <c r="X25" i="2" s="1"/>
  <c r="X26" i="2" s="1"/>
  <c r="Y11" i="2"/>
  <c r="Y12" i="2" s="1"/>
  <c r="Y13" i="2" s="1"/>
  <c r="Y14" i="2" s="1"/>
  <c r="Y15" i="2" s="1"/>
  <c r="Y16" i="2" s="1"/>
  <c r="Y17" i="2" s="1"/>
  <c r="Y18" i="2" s="1"/>
  <c r="Y19" i="2" s="1"/>
  <c r="Y20" i="2" s="1"/>
  <c r="Y21" i="2" s="1"/>
  <c r="Y22" i="2" s="1"/>
  <c r="Y23" i="2" s="1"/>
  <c r="Y24" i="2" s="1"/>
  <c r="Y25" i="2" s="1"/>
  <c r="Y26" i="2" s="1"/>
  <c r="C11" i="2"/>
  <c r="C12" i="2" s="1"/>
  <c r="C13" i="2" s="1"/>
  <c r="C14" i="2" s="1"/>
  <c r="C15" i="2" s="1"/>
  <c r="C16" i="2" s="1"/>
  <c r="C17" i="2" s="1"/>
  <c r="C18" i="2" s="1"/>
  <c r="C19" i="2" s="1"/>
  <c r="C20" i="2" s="1"/>
  <c r="C21" i="2" s="1"/>
  <c r="C22" i="2" s="1"/>
  <c r="C23" i="2" s="1"/>
  <c r="C24" i="2" s="1"/>
  <c r="C25" i="2" s="1"/>
  <c r="C26" i="2" s="1"/>
  <c r="D11" i="2"/>
  <c r="D12" i="2" s="1"/>
  <c r="D13" i="2" s="1"/>
  <c r="D14" i="2" s="1"/>
  <c r="D15" i="2" s="1"/>
  <c r="D16" i="2" s="1"/>
  <c r="D17" i="2" s="1"/>
  <c r="D18" i="2" s="1"/>
  <c r="D19" i="2" s="1"/>
  <c r="D20" i="2" s="1"/>
  <c r="D21" i="2" s="1"/>
  <c r="D22" i="2" s="1"/>
  <c r="D23" i="2" s="1"/>
  <c r="D24" i="2" s="1"/>
  <c r="D25" i="2" s="1"/>
  <c r="D26" i="2" s="1"/>
  <c r="D27" i="2" s="1"/>
  <c r="I11" i="2"/>
  <c r="I12" i="2" s="1"/>
  <c r="I13" i="2" s="1"/>
  <c r="I14" i="2" s="1"/>
  <c r="I15" i="2" s="1"/>
  <c r="I16" i="2" s="1"/>
  <c r="I17" i="2" s="1"/>
  <c r="I18" i="2" s="1"/>
  <c r="I19" i="2" s="1"/>
  <c r="I20" i="2" s="1"/>
  <c r="I21" i="2" s="1"/>
  <c r="I22" i="2" s="1"/>
  <c r="I23" i="2" s="1"/>
  <c r="I24" i="2" s="1"/>
  <c r="I25" i="2" s="1"/>
  <c r="I26" i="2" s="1"/>
  <c r="J11" i="2"/>
  <c r="J12" i="2" s="1"/>
  <c r="J13" i="2" s="1"/>
  <c r="J14" i="2" s="1"/>
  <c r="J15" i="2" s="1"/>
  <c r="J16" i="2" s="1"/>
  <c r="J17" i="2" s="1"/>
  <c r="J18" i="2" s="1"/>
  <c r="J19" i="2" s="1"/>
  <c r="J20" i="2" s="1"/>
  <c r="J21" i="2" s="1"/>
  <c r="J22" i="2" s="1"/>
  <c r="J23" i="2" s="1"/>
  <c r="J24" i="2" s="1"/>
  <c r="J25" i="2" s="1"/>
  <c r="J26" i="2" s="1"/>
  <c r="C34" i="2"/>
  <c r="C35" i="2" s="1"/>
  <c r="C36" i="2" s="1"/>
  <c r="C37" i="2" s="1"/>
  <c r="C38" i="2" s="1"/>
  <c r="C39" i="2" s="1"/>
  <c r="C40" i="2" s="1"/>
  <c r="C41" i="2" s="1"/>
  <c r="C42" i="2" s="1"/>
  <c r="C43" i="2" s="1"/>
  <c r="C44" i="2" s="1"/>
  <c r="C45" i="2" s="1"/>
  <c r="C46" i="2" s="1"/>
  <c r="C47" i="2" s="1"/>
  <c r="C48" i="2" s="1"/>
  <c r="C49" i="2" s="1"/>
  <c r="D34" i="2"/>
  <c r="D35" i="2" s="1"/>
  <c r="D36" i="2" s="1"/>
  <c r="D37" i="2" s="1"/>
  <c r="D38" i="2" s="1"/>
  <c r="D39" i="2" s="1"/>
  <c r="D40" i="2" s="1"/>
  <c r="D41" i="2" s="1"/>
  <c r="D42" i="2" s="1"/>
  <c r="D43" i="2" s="1"/>
  <c r="D44" i="2" s="1"/>
  <c r="D45" i="2" s="1"/>
  <c r="D46" i="2" s="1"/>
  <c r="D47" i="2" s="1"/>
  <c r="D48" i="2" s="1"/>
  <c r="D49" i="2" s="1"/>
  <c r="D50" i="2" s="1"/>
  <c r="I34" i="2"/>
  <c r="I35" i="2" s="1"/>
  <c r="I36" i="2" s="1"/>
  <c r="I37" i="2" s="1"/>
  <c r="I38" i="2" s="1"/>
  <c r="I39" i="2" s="1"/>
  <c r="I40" i="2" s="1"/>
  <c r="I41" i="2" s="1"/>
  <c r="I42" i="2" s="1"/>
  <c r="I43" i="2" s="1"/>
  <c r="I44" i="2" s="1"/>
  <c r="I45" i="2" s="1"/>
  <c r="I46" i="2" s="1"/>
  <c r="I47" i="2" s="1"/>
  <c r="I48" i="2" s="1"/>
  <c r="I49" i="2" s="1"/>
  <c r="J34" i="2"/>
  <c r="J35" i="2" s="1"/>
  <c r="J36" i="2" s="1"/>
  <c r="J37" i="2" s="1"/>
  <c r="J38" i="2" s="1"/>
  <c r="J39" i="2" s="1"/>
  <c r="J40" i="2" s="1"/>
  <c r="J41" i="2" s="1"/>
  <c r="J42" i="2" s="1"/>
  <c r="J43" i="2" s="1"/>
  <c r="J44" i="2" s="1"/>
  <c r="J45" i="2" s="1"/>
  <c r="J46" i="2" s="1"/>
  <c r="J47" i="2" s="1"/>
  <c r="J48" i="2" s="1"/>
  <c r="J49" i="2" s="1"/>
  <c r="R34" i="2"/>
  <c r="R35" i="2" s="1"/>
  <c r="R36" i="2" s="1"/>
  <c r="R37" i="2" s="1"/>
  <c r="R38" i="2" s="1"/>
  <c r="R39" i="2" s="1"/>
  <c r="R40" i="2" s="1"/>
  <c r="R41" i="2" s="1"/>
  <c r="R42" i="2" s="1"/>
  <c r="R43" i="2" s="1"/>
  <c r="R44" i="2" s="1"/>
  <c r="R45" i="2" s="1"/>
  <c r="R46" i="2" s="1"/>
  <c r="R47" i="2" s="1"/>
  <c r="R48" i="2" s="1"/>
  <c r="R49" i="2" s="1"/>
  <c r="S34" i="2"/>
  <c r="S35" i="2" s="1"/>
  <c r="S36" i="2" s="1"/>
  <c r="S37" i="2" s="1"/>
  <c r="S38" i="2" s="1"/>
  <c r="S39" i="2" s="1"/>
  <c r="S40" i="2" s="1"/>
  <c r="S41" i="2" s="1"/>
  <c r="S42" i="2" s="1"/>
  <c r="S43" i="2" s="1"/>
  <c r="S44" i="2" s="1"/>
  <c r="S45" i="2" s="1"/>
  <c r="S46" i="2" s="1"/>
  <c r="S47" i="2" s="1"/>
  <c r="S48" i="2" s="1"/>
  <c r="S49" i="2" s="1"/>
  <c r="X34" i="2"/>
  <c r="X35" i="2" s="1"/>
  <c r="X36" i="2" s="1"/>
  <c r="X37" i="2" s="1"/>
  <c r="X38" i="2" s="1"/>
  <c r="X39" i="2" s="1"/>
  <c r="X40" i="2" s="1"/>
  <c r="X41" i="2" s="1"/>
  <c r="X42" i="2" s="1"/>
  <c r="X43" i="2" s="1"/>
  <c r="X44" i="2" s="1"/>
  <c r="X45" i="2" s="1"/>
  <c r="X46" i="2" s="1"/>
  <c r="X47" i="2" s="1"/>
  <c r="X48" i="2" s="1"/>
  <c r="X49" i="2" s="1"/>
  <c r="Y34" i="2"/>
  <c r="Y35" i="2" s="1"/>
  <c r="Y36" i="2" s="1"/>
  <c r="Y37" i="2" s="1"/>
  <c r="Y38" i="2" s="1"/>
  <c r="Y39" i="2" s="1"/>
  <c r="Y40" i="2" s="1"/>
  <c r="Y41" i="2" s="1"/>
  <c r="Y42" i="2" s="1"/>
  <c r="Y43" i="2" s="1"/>
  <c r="Y44" i="2" s="1"/>
  <c r="Y45" i="2" s="1"/>
  <c r="Y46" i="2" s="1"/>
  <c r="Y47" i="2" s="1"/>
  <c r="Y48" i="2" s="1"/>
  <c r="Y49" i="2" s="1"/>
  <c r="AC65" i="5"/>
  <c r="Z65" i="5"/>
  <c r="W65" i="5"/>
  <c r="T65" i="5"/>
  <c r="Q65" i="5"/>
  <c r="N65" i="5"/>
  <c r="L64" i="5"/>
  <c r="L63" i="5"/>
  <c r="L62" i="5"/>
  <c r="L61" i="5"/>
  <c r="L60" i="5"/>
  <c r="L59" i="5"/>
  <c r="L58" i="5"/>
  <c r="L57" i="5"/>
  <c r="L56" i="5"/>
  <c r="L55" i="5"/>
  <c r="L54" i="5"/>
  <c r="L53" i="5"/>
  <c r="L52" i="5"/>
  <c r="L51" i="5"/>
  <c r="L50" i="5"/>
  <c r="L49" i="5"/>
  <c r="L48" i="5"/>
  <c r="L47" i="5"/>
  <c r="AC42" i="5"/>
  <c r="AD38" i="5"/>
  <c r="AC36" i="5"/>
  <c r="AB36" i="5"/>
  <c r="AA36" i="5"/>
  <c r="Z36" i="5"/>
  <c r="Y36" i="5"/>
  <c r="X36" i="5"/>
  <c r="W36" i="5"/>
  <c r="V36" i="5"/>
  <c r="U36" i="5"/>
  <c r="S36" i="5"/>
  <c r="R36" i="5"/>
  <c r="Q36" i="5"/>
  <c r="P36" i="5"/>
  <c r="O36" i="5"/>
  <c r="N36" i="5"/>
  <c r="M36" i="5"/>
  <c r="AD34" i="5"/>
  <c r="AC34" i="5"/>
  <c r="AB34" i="5"/>
  <c r="AA34" i="5"/>
  <c r="Z34" i="5"/>
  <c r="Y34" i="5"/>
  <c r="X34" i="5"/>
  <c r="W34" i="5"/>
  <c r="V34" i="5"/>
  <c r="U34" i="5"/>
  <c r="S34" i="5"/>
  <c r="R34" i="5"/>
  <c r="Q34" i="5"/>
  <c r="P34" i="5"/>
  <c r="O34" i="5"/>
  <c r="N34" i="5"/>
  <c r="M34" i="5"/>
  <c r="L33" i="5"/>
  <c r="L32" i="5"/>
  <c r="L31" i="5"/>
  <c r="L30" i="5"/>
  <c r="L29" i="5"/>
  <c r="L28" i="5"/>
  <c r="L27" i="5"/>
  <c r="L26" i="5"/>
  <c r="L25" i="5"/>
  <c r="L24" i="5"/>
  <c r="L23" i="5"/>
  <c r="L22" i="5"/>
  <c r="L21" i="5"/>
  <c r="L20" i="5"/>
  <c r="L19" i="5"/>
  <c r="T36" i="5"/>
  <c r="L18" i="5"/>
  <c r="L17" i="5"/>
  <c r="L16" i="5"/>
  <c r="L15" i="5"/>
  <c r="L14" i="5"/>
  <c r="L13" i="5"/>
  <c r="L12" i="5"/>
  <c r="L11" i="5"/>
  <c r="L10" i="5"/>
  <c r="L9" i="5"/>
  <c r="L8" i="5"/>
  <c r="L7" i="5"/>
  <c r="L6" i="5"/>
  <c r="L5" i="5"/>
  <c r="AC65" i="4"/>
  <c r="Z65" i="4"/>
  <c r="W65" i="4"/>
  <c r="T65" i="4"/>
  <c r="Q65" i="4"/>
  <c r="N65" i="4"/>
  <c r="L64" i="4"/>
  <c r="L63" i="4"/>
  <c r="L62" i="4"/>
  <c r="L61" i="4"/>
  <c r="L60" i="4"/>
  <c r="L59" i="4"/>
  <c r="L58" i="4"/>
  <c r="L57" i="4"/>
  <c r="L56" i="4"/>
  <c r="L55" i="4"/>
  <c r="L54" i="4"/>
  <c r="L53" i="4"/>
  <c r="L52" i="4"/>
  <c r="L51" i="4"/>
  <c r="L50" i="4"/>
  <c r="L49" i="4"/>
  <c r="L48" i="4"/>
  <c r="L47" i="4"/>
  <c r="AC42" i="4"/>
  <c r="AC41" i="4"/>
  <c r="Z41" i="4"/>
  <c r="Y41" i="4"/>
  <c r="X41" i="4"/>
  <c r="W41" i="4"/>
  <c r="V41" i="4"/>
  <c r="T41" i="4"/>
  <c r="AD38" i="4"/>
  <c r="O38" i="4"/>
  <c r="N38" i="4"/>
  <c r="W37" i="4"/>
  <c r="U37" i="4"/>
  <c r="T37" i="4"/>
  <c r="R37" i="4"/>
  <c r="Q37" i="4"/>
  <c r="AC36" i="4"/>
  <c r="AB36" i="4"/>
  <c r="AA36" i="4"/>
  <c r="Z36" i="4"/>
  <c r="Y36" i="4"/>
  <c r="X36" i="4"/>
  <c r="W36" i="4"/>
  <c r="V36" i="4"/>
  <c r="U36" i="4"/>
  <c r="T36" i="4"/>
  <c r="S36" i="4"/>
  <c r="R36" i="4"/>
  <c r="Q36" i="4"/>
  <c r="P36" i="4"/>
  <c r="O36" i="4"/>
  <c r="N36" i="4"/>
  <c r="M36"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L5" i="4"/>
  <c r="AC65" i="3"/>
  <c r="Z65" i="3"/>
  <c r="W65" i="3"/>
  <c r="T65" i="3"/>
  <c r="Q65" i="3"/>
  <c r="N65" i="3"/>
  <c r="L64" i="3"/>
  <c r="Y63" i="3"/>
  <c r="V63" i="3"/>
  <c r="S63" i="3"/>
  <c r="P63" i="3"/>
  <c r="M63" i="3"/>
  <c r="L63" i="3"/>
  <c r="Y62" i="3"/>
  <c r="V62" i="3"/>
  <c r="S62" i="3"/>
  <c r="P62" i="3"/>
  <c r="M62" i="3"/>
  <c r="L62" i="3"/>
  <c r="Y61" i="3"/>
  <c r="V61" i="3"/>
  <c r="S61" i="3"/>
  <c r="P61" i="3"/>
  <c r="M61" i="3"/>
  <c r="L61" i="3"/>
  <c r="Y60" i="3"/>
  <c r="V60" i="3"/>
  <c r="S60" i="3"/>
  <c r="P60" i="3"/>
  <c r="M60" i="3"/>
  <c r="L60" i="3"/>
  <c r="Y59" i="3"/>
  <c r="V59" i="3"/>
  <c r="S59" i="3"/>
  <c r="P59" i="3"/>
  <c r="M59" i="3"/>
  <c r="L59" i="3"/>
  <c r="Y58" i="3"/>
  <c r="V58" i="3"/>
  <c r="S58" i="3"/>
  <c r="P58" i="3"/>
  <c r="M58" i="3"/>
  <c r="L58" i="3"/>
  <c r="Y57" i="3"/>
  <c r="V57" i="3"/>
  <c r="S57" i="3"/>
  <c r="P57" i="3"/>
  <c r="M57" i="3"/>
  <c r="L57" i="3"/>
  <c r="Y56" i="3"/>
  <c r="V56" i="3"/>
  <c r="S56" i="3"/>
  <c r="P56" i="3"/>
  <c r="M56" i="3"/>
  <c r="L56" i="3"/>
  <c r="Y55" i="3"/>
  <c r="V55" i="3"/>
  <c r="S55" i="3"/>
  <c r="P55" i="3"/>
  <c r="M55" i="3"/>
  <c r="L55" i="3"/>
  <c r="Y54" i="3"/>
  <c r="V54" i="3"/>
  <c r="S54" i="3"/>
  <c r="P54" i="3"/>
  <c r="M54" i="3"/>
  <c r="L54" i="3"/>
  <c r="Y53" i="3"/>
  <c r="V53" i="3"/>
  <c r="S53" i="3"/>
  <c r="P53" i="3"/>
  <c r="M53" i="3"/>
  <c r="L53" i="3"/>
  <c r="Y52" i="3"/>
  <c r="AA52" i="3" s="1"/>
  <c r="AA53" i="3" s="1"/>
  <c r="V52" i="3"/>
  <c r="S52" i="3"/>
  <c r="P52" i="3"/>
  <c r="M52" i="3"/>
  <c r="L52" i="3"/>
  <c r="V51" i="3"/>
  <c r="X51" i="3" s="1"/>
  <c r="X52" i="3" s="1"/>
  <c r="X53" i="3" s="1"/>
  <c r="P51" i="3"/>
  <c r="M51" i="3"/>
  <c r="L51" i="3"/>
  <c r="S50" i="3"/>
  <c r="P50" i="3"/>
  <c r="M50" i="3"/>
  <c r="L50" i="3"/>
  <c r="S49" i="3"/>
  <c r="U49" i="3" s="1"/>
  <c r="U50" i="3" s="1"/>
  <c r="U51" i="3" s="1"/>
  <c r="U52" i="3" s="1"/>
  <c r="U53" i="3" s="1"/>
  <c r="P49" i="3"/>
  <c r="M49" i="3"/>
  <c r="O49" i="3" s="1"/>
  <c r="O50" i="3" s="1"/>
  <c r="O51" i="3" s="1"/>
  <c r="O52" i="3" s="1"/>
  <c r="O53" i="3" s="1"/>
  <c r="L49" i="3"/>
  <c r="P48" i="3"/>
  <c r="L48" i="3"/>
  <c r="P47" i="3"/>
  <c r="R47" i="3" s="1"/>
  <c r="R48" i="3" s="1"/>
  <c r="R49" i="3" s="1"/>
  <c r="R50" i="3" s="1"/>
  <c r="R51" i="3" s="1"/>
  <c r="R52" i="3" s="1"/>
  <c r="R53" i="3" s="1"/>
  <c r="R54" i="3" s="1"/>
  <c r="R55" i="3" s="1"/>
  <c r="R56" i="3" s="1"/>
  <c r="R57" i="3" s="1"/>
  <c r="R58" i="3" s="1"/>
  <c r="R59" i="3" s="1"/>
  <c r="R60" i="3" s="1"/>
  <c r="R61" i="3" s="1"/>
  <c r="R62" i="3" s="1"/>
  <c r="R63" i="3" s="1"/>
  <c r="L47" i="3"/>
  <c r="AC42" i="3"/>
  <c r="AB63" i="3" s="1"/>
  <c r="AD38" i="3"/>
  <c r="AC36" i="3"/>
  <c r="AB36" i="3"/>
  <c r="Y36" i="3"/>
  <c r="W36" i="3"/>
  <c r="V36" i="3"/>
  <c r="U36" i="3"/>
  <c r="T36" i="3"/>
  <c r="S36" i="3"/>
  <c r="R36" i="3"/>
  <c r="Q36" i="3"/>
  <c r="P36" i="3"/>
  <c r="O36" i="3"/>
  <c r="N36" i="3"/>
  <c r="L33" i="3"/>
  <c r="L32" i="3"/>
  <c r="L31" i="3"/>
  <c r="L30" i="3"/>
  <c r="F30" i="3"/>
  <c r="L29" i="3"/>
  <c r="F29" i="3"/>
  <c r="L28" i="3"/>
  <c r="F28" i="3"/>
  <c r="L27" i="3"/>
  <c r="L26" i="3"/>
  <c r="F26" i="3"/>
  <c r="L25" i="3"/>
  <c r="F25" i="3"/>
  <c r="L24" i="3"/>
  <c r="F24" i="3"/>
  <c r="L23" i="3"/>
  <c r="L22" i="3"/>
  <c r="F22" i="3"/>
  <c r="L21" i="3"/>
  <c r="F21" i="3"/>
  <c r="L20" i="3"/>
  <c r="F20" i="3"/>
  <c r="L19" i="3"/>
  <c r="L18" i="3"/>
  <c r="F18" i="3"/>
  <c r="L17" i="3"/>
  <c r="F17" i="3"/>
  <c r="L16" i="3"/>
  <c r="F16" i="3"/>
  <c r="L15" i="3"/>
  <c r="L14" i="3"/>
  <c r="F14" i="3"/>
  <c r="L13" i="3"/>
  <c r="F13" i="3"/>
  <c r="L12" i="3"/>
  <c r="F12" i="3"/>
  <c r="L11" i="3"/>
  <c r="L10" i="3"/>
  <c r="F10" i="3"/>
  <c r="L9" i="3"/>
  <c r="F9" i="3"/>
  <c r="L8" i="3"/>
  <c r="F8" i="3"/>
  <c r="L7" i="3"/>
  <c r="L6" i="3"/>
  <c r="L5" i="3"/>
  <c r="AN34" i="2"/>
  <c r="AN35" i="2" s="1"/>
  <c r="AN36" i="2" s="1"/>
  <c r="AN37" i="2" s="1"/>
  <c r="AN38" i="2" s="1"/>
  <c r="AN39" i="2" s="1"/>
  <c r="AN40" i="2" s="1"/>
  <c r="AN41" i="2" s="1"/>
  <c r="AN42" i="2" s="1"/>
  <c r="AN43" i="2" s="1"/>
  <c r="AN44" i="2" s="1"/>
  <c r="AN45" i="2" s="1"/>
  <c r="AN46" i="2" s="1"/>
  <c r="AN47" i="2" s="1"/>
  <c r="AN48" i="2" s="1"/>
  <c r="AN49" i="2" s="1"/>
  <c r="AM34" i="2"/>
  <c r="AM35" i="2" s="1"/>
  <c r="AM36" i="2" s="1"/>
  <c r="AM37" i="2" s="1"/>
  <c r="AM38" i="2" s="1"/>
  <c r="AM39" i="2" s="1"/>
  <c r="AM40" i="2" s="1"/>
  <c r="AM41" i="2" s="1"/>
  <c r="AM42" i="2" s="1"/>
  <c r="AM43" i="2" s="1"/>
  <c r="AM44" i="2" s="1"/>
  <c r="AM45" i="2" s="1"/>
  <c r="AM46" i="2" s="1"/>
  <c r="AM47" i="2" s="1"/>
  <c r="AM48" i="2" s="1"/>
  <c r="AM49" i="2" s="1"/>
  <c r="AH34" i="2"/>
  <c r="AH35" i="2" s="1"/>
  <c r="AH36" i="2" s="1"/>
  <c r="AH37" i="2" s="1"/>
  <c r="AH38" i="2" s="1"/>
  <c r="AH39" i="2" s="1"/>
  <c r="AH40" i="2" s="1"/>
  <c r="AH41" i="2" s="1"/>
  <c r="AH42" i="2" s="1"/>
  <c r="AH43" i="2" s="1"/>
  <c r="AH44" i="2" s="1"/>
  <c r="AH45" i="2" s="1"/>
  <c r="AH46" i="2" s="1"/>
  <c r="AH47" i="2" s="1"/>
  <c r="AH48" i="2" s="1"/>
  <c r="AH49" i="2" s="1"/>
  <c r="AG34" i="2"/>
  <c r="AG35" i="2" s="1"/>
  <c r="AG36" i="2" s="1"/>
  <c r="AG37" i="2" s="1"/>
  <c r="AG38" i="2" s="1"/>
  <c r="AG39" i="2" s="1"/>
  <c r="AG40" i="2" s="1"/>
  <c r="AG41" i="2" s="1"/>
  <c r="AG42" i="2" s="1"/>
  <c r="AG43" i="2" s="1"/>
  <c r="AG44" i="2" s="1"/>
  <c r="AG45" i="2" s="1"/>
  <c r="AG46" i="2" s="1"/>
  <c r="AG47" i="2" s="1"/>
  <c r="AG48" i="2" s="1"/>
  <c r="AG49" i="2" s="1"/>
  <c r="AN11" i="2"/>
  <c r="AN12" i="2" s="1"/>
  <c r="AN13" i="2" s="1"/>
  <c r="AN14" i="2" s="1"/>
  <c r="AN15" i="2" s="1"/>
  <c r="AN16" i="2" s="1"/>
  <c r="AN17" i="2" s="1"/>
  <c r="AN18" i="2" s="1"/>
  <c r="AN19" i="2" s="1"/>
  <c r="AN20" i="2" s="1"/>
  <c r="AN21" i="2" s="1"/>
  <c r="AN22" i="2" s="1"/>
  <c r="AN23" i="2" s="1"/>
  <c r="AN24" i="2" s="1"/>
  <c r="AN25" i="2" s="1"/>
  <c r="AN26" i="2" s="1"/>
  <c r="AM11" i="2"/>
  <c r="AM12" i="2" s="1"/>
  <c r="AM13" i="2" s="1"/>
  <c r="AM14" i="2" s="1"/>
  <c r="AM15" i="2" s="1"/>
  <c r="AM16" i="2" s="1"/>
  <c r="AM17" i="2" s="1"/>
  <c r="AM18" i="2" s="1"/>
  <c r="AM19" i="2" s="1"/>
  <c r="AM20" i="2" s="1"/>
  <c r="AM21" i="2" s="1"/>
  <c r="AM22" i="2" s="1"/>
  <c r="AM23" i="2" s="1"/>
  <c r="AM24" i="2" s="1"/>
  <c r="AM25" i="2" s="1"/>
  <c r="AM26" i="2" s="1"/>
  <c r="AH11" i="2"/>
  <c r="AH12" i="2" s="1"/>
  <c r="AH13" i="2" s="1"/>
  <c r="AH14" i="2" s="1"/>
  <c r="AH15" i="2" s="1"/>
  <c r="AH16" i="2" s="1"/>
  <c r="AH17" i="2" s="1"/>
  <c r="AH18" i="2" s="1"/>
  <c r="AH19" i="2" s="1"/>
  <c r="AH20" i="2" s="1"/>
  <c r="AH21" i="2" s="1"/>
  <c r="AH22" i="2" s="1"/>
  <c r="AH23" i="2" s="1"/>
  <c r="AH24" i="2" s="1"/>
  <c r="AH25" i="2" s="1"/>
  <c r="AH26" i="2" s="1"/>
  <c r="AG11" i="2"/>
  <c r="AG12" i="2" s="1"/>
  <c r="AG13" i="2" s="1"/>
  <c r="AG14" i="2" s="1"/>
  <c r="AG15" i="2" s="1"/>
  <c r="AG16" i="2" s="1"/>
  <c r="AG17" i="2" s="1"/>
  <c r="AG18" i="2" s="1"/>
  <c r="AG19" i="2" s="1"/>
  <c r="AG20" i="2" s="1"/>
  <c r="AG21" i="2" s="1"/>
  <c r="AG22" i="2" s="1"/>
  <c r="AG23" i="2" s="1"/>
  <c r="AG25" i="2" s="1"/>
  <c r="AG26" i="2" s="1"/>
  <c r="O54" i="3" l="1"/>
  <c r="O55" i="3" s="1"/>
  <c r="O56" i="3" s="1"/>
  <c r="O57" i="3" s="1"/>
  <c r="O58" i="3" s="1"/>
  <c r="O59" i="3" s="1"/>
  <c r="O60" i="3" s="1"/>
  <c r="O61" i="3" s="1"/>
  <c r="O62" i="3" s="1"/>
  <c r="O63" i="3" s="1"/>
  <c r="U54" i="3"/>
  <c r="U55" i="3" s="1"/>
  <c r="U56" i="3" s="1"/>
  <c r="U57" i="3" s="1"/>
  <c r="U58" i="3" s="1"/>
  <c r="U59" i="3" s="1"/>
  <c r="U60" i="3" s="1"/>
  <c r="U61" i="3" s="1"/>
  <c r="U62" i="3" s="1"/>
  <c r="U63" i="3" s="1"/>
  <c r="AA36" i="3"/>
  <c r="X54" i="3"/>
  <c r="X55" i="3" s="1"/>
  <c r="X56" i="3" s="1"/>
  <c r="X57" i="3" s="1"/>
  <c r="X58" i="3" s="1"/>
  <c r="X59" i="3" s="1"/>
  <c r="X60" i="3" s="1"/>
  <c r="X61" i="3" s="1"/>
  <c r="X62" i="3" s="1"/>
  <c r="X63" i="3" s="1"/>
  <c r="AA54" i="3"/>
  <c r="AA55" i="3" s="1"/>
  <c r="AA56" i="3" s="1"/>
  <c r="AA57" i="3" s="1"/>
  <c r="AA58" i="3" s="1"/>
  <c r="AA59" i="3" s="1"/>
  <c r="AA60" i="3" s="1"/>
  <c r="AA61" i="3" s="1"/>
  <c r="AA62" i="3" s="1"/>
  <c r="AA63" i="3" s="1"/>
  <c r="Z36" i="3"/>
  <c r="Y65" i="3"/>
  <c r="V65" i="3"/>
  <c r="AB65" i="4"/>
  <c r="V65" i="5"/>
  <c r="S65" i="3"/>
  <c r="P65" i="5"/>
  <c r="M65" i="3"/>
  <c r="P65" i="3"/>
  <c r="P65" i="4"/>
  <c r="Y65" i="5"/>
  <c r="S65" i="5"/>
  <c r="V65" i="4"/>
  <c r="T34" i="5"/>
  <c r="AB65" i="3"/>
  <c r="M65" i="4"/>
  <c r="Y65" i="4"/>
  <c r="F7" i="3"/>
  <c r="F11" i="3"/>
  <c r="F15" i="3"/>
  <c r="F19" i="3"/>
  <c r="F23" i="3"/>
  <c r="F27" i="3"/>
  <c r="F31" i="3"/>
  <c r="AA39" i="4"/>
  <c r="S65" i="4" s="1"/>
  <c r="M65" i="5"/>
  <c r="AB65" i="5"/>
  <c r="AD61" i="3" l="1"/>
  <c r="AD62" i="3" s="1"/>
  <c r="AD6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10" authorId="0" shapeId="0" xr:uid="{00000000-0006-0000-0200-000001000000}">
      <text>
        <r>
          <rPr>
            <sz val="10"/>
            <color rgb="FF000000"/>
            <rFont val="Arial"/>
            <family val="2"/>
          </rPr>
          <t>This will not automatically update if you get all Great Wall secrets.</t>
        </r>
      </text>
    </comment>
    <comment ref="H10" authorId="0" shapeId="0" xr:uid="{00000000-0006-0000-0200-000002000000}">
      <text>
        <r>
          <rPr>
            <sz val="10"/>
            <color rgb="FF000000"/>
            <rFont val="Arial"/>
            <family val="2"/>
          </rPr>
          <t>This will not automatically update if you get all Great Wall secrets.</t>
        </r>
      </text>
    </comment>
    <comment ref="V10" authorId="0" shapeId="0" xr:uid="{00000000-0006-0000-0200-000003000000}">
      <text>
        <r>
          <rPr>
            <sz val="10"/>
            <color rgb="FF000000"/>
            <rFont val="Arial"/>
            <family val="2"/>
          </rPr>
          <t>One is added by default due to the collection of all Great Wall secrets.</t>
        </r>
      </text>
    </comment>
    <comment ref="W10" authorId="0" shapeId="0" xr:uid="{00000000-0006-0000-0200-000004000000}">
      <text>
        <r>
          <rPr>
            <sz val="10"/>
            <color rgb="FF000000"/>
            <rFont val="Arial"/>
            <family val="2"/>
          </rPr>
          <t>One is added by default due to the collection of all Great Wall secrets.</t>
        </r>
      </text>
    </comment>
    <comment ref="AK10" authorId="0" shapeId="0" xr:uid="{00000000-0006-0000-0200-000005000000}">
      <text>
        <r>
          <rPr>
            <sz val="10"/>
            <color rgb="FF000000"/>
            <rFont val="Arial"/>
            <family val="2"/>
          </rPr>
          <t>One is added by default due to the collection of all Great Wall secrets.</t>
        </r>
      </text>
    </comment>
    <comment ref="AL10" authorId="0" shapeId="0" xr:uid="{00000000-0006-0000-0200-000006000000}">
      <text>
        <r>
          <rPr>
            <sz val="10"/>
            <color rgb="FF000000"/>
            <rFont val="Arial"/>
            <family val="2"/>
          </rPr>
          <t>One is added by default due to the collection of all Great Wall secrets.</t>
        </r>
      </text>
    </comment>
    <comment ref="G33" authorId="0" shapeId="0" xr:uid="{00000000-0006-0000-0200-000007000000}">
      <text>
        <r>
          <rPr>
            <sz val="10"/>
            <color rgb="FF000000"/>
            <rFont val="Arial"/>
            <family val="2"/>
          </rPr>
          <t>This will not automatically update if you get all Great Wall secrets.</t>
        </r>
      </text>
    </comment>
    <comment ref="H33" authorId="0" shapeId="0" xr:uid="{00000000-0006-0000-0200-000008000000}">
      <text>
        <r>
          <rPr>
            <sz val="10"/>
            <color rgb="FF000000"/>
            <rFont val="Arial"/>
            <family val="2"/>
          </rPr>
          <t>This will not automatically update if you get all Great Wall secrets.</t>
        </r>
      </text>
    </comment>
    <comment ref="V33" authorId="0" shapeId="0" xr:uid="{00000000-0006-0000-0200-000009000000}">
      <text>
        <r>
          <rPr>
            <sz val="10"/>
            <color rgb="FF000000"/>
            <rFont val="Arial"/>
            <family val="2"/>
          </rPr>
          <t>One is added by default due to the collection of all Great Wall secrets.</t>
        </r>
      </text>
    </comment>
    <comment ref="W33" authorId="0" shapeId="0" xr:uid="{00000000-0006-0000-0200-00000A000000}">
      <text>
        <r>
          <rPr>
            <sz val="10"/>
            <color rgb="FF000000"/>
            <rFont val="Arial"/>
            <family val="2"/>
          </rPr>
          <t>One is added by default due to the collection of all Great Wall secrets.</t>
        </r>
      </text>
    </comment>
    <comment ref="AK33" authorId="0" shapeId="0" xr:uid="{00000000-0006-0000-0200-00000B000000}">
      <text>
        <r>
          <rPr>
            <sz val="10"/>
            <color rgb="FF000000"/>
            <rFont val="Arial"/>
            <family val="2"/>
          </rPr>
          <t>One is added by default due to the collection of all Great Wall secrets.</t>
        </r>
      </text>
    </comment>
    <comment ref="AL33" authorId="0" shapeId="0" xr:uid="{00000000-0006-0000-0200-00000C000000}">
      <text>
        <r>
          <rPr>
            <sz val="10"/>
            <color rgb="FF000000"/>
            <rFont val="Arial"/>
            <family val="2"/>
          </rPr>
          <t>One is added by default due to the collection of all Great Wall secrets.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U14" authorId="0" shapeId="0" xr:uid="{00000000-0006-0000-0300-000001000000}">
      <text>
        <r>
          <rPr>
            <sz val="10"/>
            <color rgb="FF000000"/>
            <rFont val="Arial"/>
            <family val="2"/>
          </rPr>
          <t>Up to 3 if being safe for final jump.</t>
        </r>
      </text>
    </comment>
    <comment ref="W22" authorId="0" shapeId="0" xr:uid="{00000000-0006-0000-0300-000002000000}">
      <text>
        <r>
          <rPr>
            <sz val="10"/>
            <color rgb="FF000000"/>
            <rFont val="Arial"/>
            <family val="2"/>
          </rPr>
          <t>1 but others are killed with snowmobile.</t>
        </r>
      </text>
    </comment>
    <comment ref="M34" authorId="0" shapeId="0" xr:uid="{00000000-0006-0000-0300-000003000000}">
      <text>
        <r>
          <rPr>
            <sz val="10"/>
            <color rgb="FF000000"/>
            <rFont val="Arial"/>
            <family val="2"/>
          </rPr>
          <t>Note that this also rewards one small med; you must manually account for this in the Meds tab's "Collect" cells for this run type.</t>
        </r>
      </text>
    </comment>
    <comment ref="Z52" authorId="0" shapeId="0" xr:uid="{00000000-0006-0000-0300-000004000000}">
      <text>
        <r>
          <rPr>
            <sz val="10"/>
            <color rgb="FF000000"/>
            <rFont val="Arial"/>
            <family val="2"/>
          </rPr>
          <t>Either 2 or 4, 2 would save 3 seconds.</t>
        </r>
      </text>
    </comment>
    <comment ref="Z56" authorId="0" shapeId="0" xr:uid="{00000000-0006-0000-0300-000005000000}">
      <text>
        <r>
          <rPr>
            <sz val="10"/>
            <color rgb="FF000000"/>
            <rFont val="Arial"/>
            <family val="2"/>
          </rPr>
          <t>Either 2 or 4, 2 would save 5 seconds.</t>
        </r>
      </text>
    </comment>
    <comment ref="T57" authorId="0" shapeId="0" xr:uid="{00000000-0006-0000-0300-000006000000}">
      <text>
        <r>
          <rPr>
            <sz val="10"/>
            <color rgb="FF000000"/>
            <rFont val="Arial"/>
            <family val="2"/>
          </rPr>
          <t>2 from Hut near lever possible, loses 3 seconds.</t>
        </r>
      </text>
    </comment>
    <comment ref="Z57" authorId="0" shapeId="0" xr:uid="{00000000-0006-0000-0300-000007000000}">
      <text>
        <r>
          <rPr>
            <sz val="10"/>
            <color rgb="FF000000"/>
            <rFont val="Arial"/>
            <family val="2"/>
          </rPr>
          <t>2 from Hut corner possible, lose 4 seconds.</t>
        </r>
      </text>
    </comment>
    <comment ref="Z58" authorId="0" shapeId="0" xr:uid="{00000000-0006-0000-0300-000008000000}">
      <text>
        <r>
          <rPr>
            <sz val="10"/>
            <color rgb="FF000000"/>
            <rFont val="Arial"/>
            <family val="2"/>
          </rPr>
          <t xml:space="preserve">1 from Uzi Thug possible, lose 2 seconds.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O9" authorId="0" shapeId="0" xr:uid="{00000000-0006-0000-0400-000001000000}">
      <text>
        <r>
          <rPr>
            <sz val="10"/>
            <color rgb="FF000000"/>
            <rFont val="Arial"/>
            <family val="2"/>
          </rPr>
          <t>Glitchless: killing two allows 2nd melee guy to spawn early, the two near the door are optional to prevent health loss.</t>
        </r>
      </text>
    </comment>
    <comment ref="U14" authorId="0" shapeId="0" xr:uid="{00000000-0006-0000-0400-000002000000}">
      <text>
        <r>
          <rPr>
            <sz val="10"/>
            <color rgb="FF000000"/>
            <rFont val="Arial"/>
            <family val="2"/>
          </rPr>
          <t>Up to 3 if being safe for final jump.</t>
        </r>
      </text>
    </comment>
    <comment ref="X20" authorId="0" shapeId="0" xr:uid="{00000000-0006-0000-0400-000003000000}">
      <text>
        <r>
          <rPr>
            <sz val="10"/>
            <color rgb="FF000000"/>
            <rFont val="Arial"/>
            <family val="2"/>
          </rPr>
          <t>1 on bridge definite; 1 monk-assisted is possible if monks fail to kill roof guys.</t>
        </r>
      </text>
    </comment>
    <comment ref="X21" authorId="0" shapeId="0" xr:uid="{00000000-0006-0000-0400-000004000000}">
      <text>
        <r>
          <rPr>
            <sz val="10"/>
            <color rgb="FF000000"/>
            <rFont val="Arial"/>
            <family val="2"/>
          </rPr>
          <t>Fire room kill is monk-assisted, non-assisted kill is possible if monks fail to kill roof goons.</t>
        </r>
      </text>
    </comment>
    <comment ref="W22" authorId="0" shapeId="0" xr:uid="{00000000-0006-0000-0400-000005000000}">
      <text>
        <r>
          <rPr>
            <sz val="10"/>
            <color rgb="FF000000"/>
            <rFont val="Arial"/>
            <family val="2"/>
          </rPr>
          <t>1 but others are killed with snowmobile.</t>
        </r>
      </text>
    </comment>
    <comment ref="Y26" authorId="0" shapeId="0" xr:uid="{00000000-0006-0000-0400-000006000000}">
      <text>
        <r>
          <rPr>
            <sz val="10"/>
            <color rgb="FF000000"/>
            <rFont val="Arial"/>
            <family val="2"/>
          </rPr>
          <t>If the Yeti Push strat works, should be 0.</t>
        </r>
      </text>
    </comment>
    <comment ref="M34" authorId="0" shapeId="0" xr:uid="{00000000-0006-0000-0400-000007000000}">
      <text>
        <r>
          <rPr>
            <sz val="10"/>
            <color rgb="FF000000"/>
            <rFont val="Arial"/>
            <family val="2"/>
          </rPr>
          <t>Note that this also rewards one small med; you must manually account for this in the Meds tab's "Collect" cells for this run type.</t>
        </r>
      </text>
    </comment>
    <comment ref="Z52" authorId="0" shapeId="0" xr:uid="{00000000-0006-0000-0400-000008000000}">
      <text>
        <r>
          <rPr>
            <sz val="10"/>
            <color rgb="FF000000"/>
            <rFont val="Arial"/>
            <family val="2"/>
          </rPr>
          <t>Either 2 or 4, 2 would save 3 seconds.</t>
        </r>
      </text>
    </comment>
    <comment ref="Z56" authorId="0" shapeId="0" xr:uid="{00000000-0006-0000-0400-000009000000}">
      <text>
        <r>
          <rPr>
            <sz val="10"/>
            <color rgb="FF000000"/>
            <rFont val="Arial"/>
            <family val="2"/>
          </rPr>
          <t>Either 2 or 4, 2 would save 5 seconds.</t>
        </r>
      </text>
    </comment>
    <comment ref="T57" authorId="0" shapeId="0" xr:uid="{00000000-0006-0000-0400-00000A000000}">
      <text>
        <r>
          <rPr>
            <sz val="10"/>
            <color rgb="FF000000"/>
            <rFont val="Arial"/>
            <family val="2"/>
          </rPr>
          <t>2 from Hut near lever possible, loses 3 seconds.</t>
        </r>
      </text>
    </comment>
    <comment ref="Z57" authorId="0" shapeId="0" xr:uid="{00000000-0006-0000-0400-00000B000000}">
      <text>
        <r>
          <rPr>
            <sz val="10"/>
            <color rgb="FF000000"/>
            <rFont val="Arial"/>
            <family val="2"/>
          </rPr>
          <t>2 from Hut corner possible, lose 4 seconds.</t>
        </r>
      </text>
    </comment>
    <comment ref="Z58" authorId="0" shapeId="0" xr:uid="{00000000-0006-0000-0400-00000C000000}">
      <text>
        <r>
          <rPr>
            <sz val="10"/>
            <color rgb="FF000000"/>
            <rFont val="Arial"/>
            <family val="2"/>
          </rPr>
          <t xml:space="preserve">1 from Uzi Thug possible, lose 2 seconds.
</t>
        </r>
      </text>
    </comment>
    <comment ref="S60" authorId="0" shapeId="0" xr:uid="{00000000-0006-0000-0400-00000D000000}">
      <text>
        <r>
          <rPr>
            <sz val="10"/>
            <color rgb="FF000000"/>
            <rFont val="Arial"/>
            <family val="2"/>
          </rPr>
          <t>Use uzis to shoot bells.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U14" authorId="0" shapeId="0" xr:uid="{20DF3744-09BE-4E25-90FC-351A7F7C981A}">
      <text>
        <r>
          <rPr>
            <sz val="10"/>
            <color rgb="FF000000"/>
            <rFont val="Arial"/>
            <family val="2"/>
          </rPr>
          <t>Up to 3 if being safe for final jump.</t>
        </r>
      </text>
    </comment>
    <comment ref="W22" authorId="0" shapeId="0" xr:uid="{607891D1-E678-43FC-B30B-C7AAC1A541F8}">
      <text>
        <r>
          <rPr>
            <sz val="10"/>
            <color rgb="FF000000"/>
            <rFont val="Arial"/>
            <family val="2"/>
          </rPr>
          <t>1 but others are killed with snowmobile.</t>
        </r>
      </text>
    </comment>
    <comment ref="M34" authorId="0" shapeId="0" xr:uid="{FC21D154-849B-4F34-8705-C3B6A7BCCB69}">
      <text>
        <r>
          <rPr>
            <sz val="10"/>
            <color rgb="FF000000"/>
            <rFont val="Arial"/>
            <family val="2"/>
          </rPr>
          <t>Note that this also rewards one small med; you must manually account for this in the Meds tab's "Collect" cells for this run type.</t>
        </r>
      </text>
    </comment>
    <comment ref="Z52" authorId="0" shapeId="0" xr:uid="{F9457310-7862-4FFC-BC30-6BBC9119ACC3}">
      <text>
        <r>
          <rPr>
            <sz val="10"/>
            <color rgb="FF000000"/>
            <rFont val="Arial"/>
            <family val="2"/>
          </rPr>
          <t>Either 2 or 4, 2 would save 3 seconds.</t>
        </r>
      </text>
    </comment>
    <comment ref="Z56" authorId="0" shapeId="0" xr:uid="{636D6B9E-F093-42B7-AFFA-920C84324AE2}">
      <text>
        <r>
          <rPr>
            <sz val="10"/>
            <color rgb="FF000000"/>
            <rFont val="Arial"/>
            <family val="2"/>
          </rPr>
          <t>Either 2 or 4, 2 would save 5 seconds.</t>
        </r>
      </text>
    </comment>
    <comment ref="T57" authorId="0" shapeId="0" xr:uid="{C910C8CF-34CD-46BA-B8F0-3922C026FB3D}">
      <text>
        <r>
          <rPr>
            <sz val="10"/>
            <color rgb="FF000000"/>
            <rFont val="Arial"/>
            <family val="2"/>
          </rPr>
          <t>2 from Hut near lever possible, loses 3 seconds.</t>
        </r>
      </text>
    </comment>
    <comment ref="Z57" authorId="0" shapeId="0" xr:uid="{065A4814-8E7E-4835-ACC3-DC13B861659C}">
      <text>
        <r>
          <rPr>
            <sz val="10"/>
            <color rgb="FF000000"/>
            <rFont val="Arial"/>
            <family val="2"/>
          </rPr>
          <t>2 from Hut corner possible, lose 4 seconds.</t>
        </r>
      </text>
    </comment>
    <comment ref="Z58" authorId="0" shapeId="0" xr:uid="{8EF0A63F-7828-491D-9326-049BF129ECEE}">
      <text>
        <r>
          <rPr>
            <sz val="10"/>
            <color rgb="FF000000"/>
            <rFont val="Arial"/>
            <family val="2"/>
          </rPr>
          <t xml:space="preserve">1 from Uzi Thug possible, lose 2 seconds.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U14" authorId="0" shapeId="0" xr:uid="{09F756CA-1693-4FFB-AFE9-77126F56B782}">
      <text>
        <r>
          <rPr>
            <sz val="10"/>
            <color rgb="FF000000"/>
            <rFont val="Arial"/>
            <family val="2"/>
          </rPr>
          <t>Up to 3 if being safe for final jump.</t>
        </r>
      </text>
    </comment>
    <comment ref="W22" authorId="0" shapeId="0" xr:uid="{CD62AD98-DD0B-414F-9FAC-FF1B4364289F}">
      <text>
        <r>
          <rPr>
            <sz val="10"/>
            <color rgb="FF000000"/>
            <rFont val="Arial"/>
            <family val="2"/>
          </rPr>
          <t>1 but others are killed with snowmobile.</t>
        </r>
      </text>
    </comment>
    <comment ref="M34" authorId="0" shapeId="0" xr:uid="{0BE105E5-9163-4975-A3E6-1931448C7F3C}">
      <text>
        <r>
          <rPr>
            <sz val="10"/>
            <color rgb="FF000000"/>
            <rFont val="Arial"/>
            <family val="2"/>
          </rPr>
          <t>Note that this also rewards one small med; you must manually account for this in the Meds tab's "Collect" cells for this run type.</t>
        </r>
      </text>
    </comment>
    <comment ref="Z52" authorId="0" shapeId="0" xr:uid="{C70D3356-2663-4470-B93F-705742DA731F}">
      <text>
        <r>
          <rPr>
            <sz val="10"/>
            <color rgb="FF000000"/>
            <rFont val="Arial"/>
            <family val="2"/>
          </rPr>
          <t>Either 2 or 4, 2 would save 3 seconds.</t>
        </r>
      </text>
    </comment>
    <comment ref="Z56" authorId="0" shapeId="0" xr:uid="{B3CB8A4E-77FB-4236-9FFC-487B3C1BF3E2}">
      <text>
        <r>
          <rPr>
            <sz val="10"/>
            <color rgb="FF000000"/>
            <rFont val="Arial"/>
            <family val="2"/>
          </rPr>
          <t>Either 2 or 4, 2 would save 5 seconds.</t>
        </r>
      </text>
    </comment>
    <comment ref="T57" authorId="0" shapeId="0" xr:uid="{7FA8D788-A01F-4DEF-A10E-BE5C27CA82CF}">
      <text>
        <r>
          <rPr>
            <sz val="10"/>
            <color rgb="FF000000"/>
            <rFont val="Arial"/>
            <family val="2"/>
          </rPr>
          <t>2 from Hut near lever possible, loses 3 seconds.</t>
        </r>
      </text>
    </comment>
    <comment ref="Z57" authorId="0" shapeId="0" xr:uid="{57B2DD9F-5FE1-40EA-89A3-B8CF21E9C6D6}">
      <text>
        <r>
          <rPr>
            <sz val="10"/>
            <color rgb="FF000000"/>
            <rFont val="Arial"/>
            <family val="2"/>
          </rPr>
          <t>2 from Hut corner possible, lose 4 seconds.</t>
        </r>
      </text>
    </comment>
    <comment ref="Z58" authorId="0" shapeId="0" xr:uid="{F401A93D-1886-4889-A2A2-F985FF5E64B3}">
      <text>
        <r>
          <rPr>
            <sz val="10"/>
            <color rgb="FF000000"/>
            <rFont val="Arial"/>
            <family val="2"/>
          </rPr>
          <t xml:space="preserve">1 from Uzi Thug possible, lose 2 seconds.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Cody Mason</author>
  </authors>
  <commentList>
    <comment ref="C11" authorId="0" shapeId="0" xr:uid="{5BB5AA2C-2A13-444C-A4F8-29876BF9ECCC}">
      <text>
        <r>
          <rPr>
            <b/>
            <sz val="9"/>
            <color indexed="81"/>
            <rFont val="Tahoma"/>
            <family val="2"/>
          </rPr>
          <t>Note there is an inaccessible shark that is killable but not required for leaderboard submissions. If you want to kill this shark, click this cell for a prompt to change this value.  Click again if you wish to change it back.</t>
        </r>
      </text>
    </comment>
    <comment ref="D18" authorId="0" shapeId="0" xr:uid="{9CDBDD8C-48B3-4C59-A13D-F6A6522981B9}">
      <text>
        <r>
          <rPr>
            <b/>
            <sz val="9"/>
            <color indexed="81"/>
            <rFont val="Tahoma"/>
            <family val="2"/>
          </rPr>
          <t>Note there is a medpack only obtainable with the UK Box game version.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Cody Mason</author>
  </authors>
  <commentList>
    <comment ref="C11" authorId="0" shapeId="0" xr:uid="{34A8C70F-937D-464C-AE38-07D037E3BFF1}">
      <text>
        <r>
          <rPr>
            <b/>
            <sz val="9"/>
            <color indexed="81"/>
            <rFont val="Tahoma"/>
            <family val="2"/>
          </rPr>
          <t>Note there is an inaccessible shark that is killable but not required for leaderboard submissions. If you want to kill this shark, click this cell for a prompt to change this value.  Click again if you wish to change it back.</t>
        </r>
      </text>
    </comment>
  </commentList>
</comments>
</file>

<file path=xl/sharedStrings.xml><?xml version="1.0" encoding="utf-8"?>
<sst xmlns="http://schemas.openxmlformats.org/spreadsheetml/2006/main" count="1670" uniqueCount="161">
  <si>
    <t>Useful Links</t>
  </si>
  <si>
    <t>Tomb Runner Discord Server</t>
  </si>
  <si>
    <t>Enemy</t>
  </si>
  <si>
    <t>Instructions</t>
  </si>
  <si>
    <t>TR2's Speedrun.com Page</t>
  </si>
  <si>
    <t>Shots to Kill</t>
  </si>
  <si>
    <t>https://discord.gg/YwYJMu5</t>
  </si>
  <si>
    <t>Level</t>
  </si>
  <si>
    <t>Provide inputs for "Use" and "Collect" -- "Start" values updates automatically.</t>
  </si>
  <si>
    <t>https://www.speedrun.com/tr2</t>
  </si>
  <si>
    <t>General Info</t>
  </si>
  <si>
    <t>For Secrets%, Great Wall reward is given. Provide all other inputs for "Use" and "Collect" -- "Start" is automatic.</t>
  </si>
  <si>
    <t>For 100%, "Collect" is provided for you. Provide inputs for "Use" only -- "Start" values update automatically.</t>
  </si>
  <si>
    <t>Pistols</t>
  </si>
  <si>
    <t>These tables help track meds you pick up and use, potentially helpful when learning/optimizing a route.</t>
  </si>
  <si>
    <t>Autos</t>
  </si>
  <si>
    <t>Shotgun</t>
  </si>
  <si>
    <t>Uzi</t>
  </si>
  <si>
    <t>Harpoon</t>
  </si>
  <si>
    <t>Distribution</t>
  </si>
  <si>
    <t>M16</t>
  </si>
  <si>
    <t>Glitched Any% Meds</t>
  </si>
  <si>
    <t>Grenade Launcher</t>
  </si>
  <si>
    <t>Glitched Secrets% Meds</t>
  </si>
  <si>
    <t>Glitched 100% Meds</t>
  </si>
  <si>
    <t>Permissions</t>
  </si>
  <si>
    <t>Bullets</t>
  </si>
  <si>
    <t>Doubles</t>
  </si>
  <si>
    <t>Small</t>
  </si>
  <si>
    <t>Large</t>
  </si>
  <si>
    <t>Shells</t>
  </si>
  <si>
    <t>Start</t>
  </si>
  <si>
    <t>Contact Info</t>
  </si>
  <si>
    <t>MIDGETxSN1PES@gmail.com</t>
  </si>
  <si>
    <t>Use</t>
  </si>
  <si>
    <t>Harpoons</t>
  </si>
  <si>
    <t>Collect</t>
  </si>
  <si>
    <t>Alternatives: Twitch, Steam, Facebook, Discord (#3751)</t>
  </si>
  <si>
    <t>Grenades</t>
  </si>
  <si>
    <t>Great Wall</t>
  </si>
  <si>
    <t>Venice</t>
  </si>
  <si>
    <t>Hideout</t>
  </si>
  <si>
    <t>Offshore</t>
  </si>
  <si>
    <t>Diving</t>
  </si>
  <si>
    <t>Fathoms</t>
  </si>
  <si>
    <t>Maria Doria</t>
  </si>
  <si>
    <t>Living</t>
  </si>
  <si>
    <t>The Deck</t>
  </si>
  <si>
    <t>Foothills</t>
  </si>
  <si>
    <t>Barkhang</t>
  </si>
  <si>
    <t>Catacombs</t>
  </si>
  <si>
    <t>Ice Palace</t>
  </si>
  <si>
    <t>Xian</t>
  </si>
  <si>
    <t>Floating</t>
  </si>
  <si>
    <t>Dragon</t>
  </si>
  <si>
    <t>Epilogue</t>
  </si>
  <si>
    <t>Tiger</t>
  </si>
  <si>
    <t>Bartoli's Hideout</t>
  </si>
  <si>
    <t>Crow</t>
  </si>
  <si>
    <t>Opera House</t>
  </si>
  <si>
    <t>Spider</t>
  </si>
  <si>
    <t>Offshore Rig</t>
  </si>
  <si>
    <t>T-Rex</t>
  </si>
  <si>
    <t>Diving Area</t>
  </si>
  <si>
    <t>Rat</t>
  </si>
  <si>
    <t>Dog</t>
  </si>
  <si>
    <t>40 Fathoms</t>
  </si>
  <si>
    <t>Melee Thug</t>
  </si>
  <si>
    <t>Pistol Thug</t>
  </si>
  <si>
    <t>Colt</t>
  </si>
  <si>
    <t>Living Quarters</t>
  </si>
  <si>
    <t>Shotgun Thug</t>
  </si>
  <si>
    <t>Auto Rifle Thug</t>
  </si>
  <si>
    <t>Flamethrower</t>
  </si>
  <si>
    <t>Tibetan Foothills</t>
  </si>
  <si>
    <t>Shark</t>
  </si>
  <si>
    <t>Barkhang Monastery</t>
  </si>
  <si>
    <t>Barracuda</t>
  </si>
  <si>
    <t>Uzi Thug</t>
  </si>
  <si>
    <t>Catacombs of the Talion</t>
  </si>
  <si>
    <t>Burst Pistol Thug</t>
  </si>
  <si>
    <t>Snowmobile Thug</t>
  </si>
  <si>
    <t>Snow Leopard</t>
  </si>
  <si>
    <t>Monastery Monk</t>
  </si>
  <si>
    <t>Temple of Xian</t>
  </si>
  <si>
    <t>Catfish</t>
  </si>
  <si>
    <t>Floating Islands</t>
  </si>
  <si>
    <t>Yeti</t>
  </si>
  <si>
    <t>Talion Guardian</t>
  </si>
  <si>
    <t>Dragon's Lair</t>
  </si>
  <si>
    <t>Eagle</t>
  </si>
  <si>
    <t>Giant Spider</t>
  </si>
  <si>
    <t>Home Sweet Home</t>
  </si>
  <si>
    <t>Sword Statue</t>
  </si>
  <si>
    <t>Spear Statue</t>
  </si>
  <si>
    <t>Bartoli's Monk</t>
  </si>
  <si>
    <t>Glitchless Any% Meds</t>
  </si>
  <si>
    <t>Glitchless Secrets% Meds</t>
  </si>
  <si>
    <t>Glitchless 100% Meds</t>
  </si>
  <si>
    <t>All Secrets</t>
  </si>
  <si>
    <t>--</t>
  </si>
  <si>
    <t>Weapon Ammo Per Pickup Icon</t>
  </si>
  <si>
    <t>NTSC-J?</t>
  </si>
  <si>
    <t>Weapons</t>
  </si>
  <si>
    <t>Level Ammo Usage</t>
  </si>
  <si>
    <t>Pistol (Doubles)</t>
  </si>
  <si>
    <t>Notes</t>
  </si>
  <si>
    <t>Autos (Doubles)</t>
  </si>
  <si>
    <t>Shotgun shoots 6 pellets at 3 damage each.</t>
  </si>
  <si>
    <t>NG+?</t>
  </si>
  <si>
    <t>Shotgun (Shells)</t>
  </si>
  <si>
    <t>UZI (Bullets)</t>
  </si>
  <si>
    <t>Autos and Uzi take ~ same time to kill low health enemies.</t>
  </si>
  <si>
    <t>M16 (Bullets)</t>
  </si>
  <si>
    <t>Weapons and Ammo</t>
  </si>
  <si>
    <t>Min Use</t>
  </si>
  <si>
    <t>Remaining</t>
  </si>
  <si>
    <t>-</t>
  </si>
  <si>
    <t>Kill Total</t>
  </si>
  <si>
    <t xml:space="preserve">Monks' hits perform 5 pistol damage on enemies. </t>
  </si>
  <si>
    <t>Shark?</t>
  </si>
  <si>
    <r>
      <rPr>
        <sz val="12"/>
        <color rgb="FF9900FF"/>
        <rFont val="Calibri"/>
        <family val="2"/>
        <scheme val="minor"/>
      </rPr>
      <t>|</t>
    </r>
    <r>
      <rPr>
        <sz val="12"/>
        <color rgb="FF000000"/>
        <rFont val="Calibri"/>
        <family val="2"/>
        <scheme val="minor"/>
      </rPr>
      <t xml:space="preserve">    Preferred (Realistic) = </t>
    </r>
    <r>
      <rPr>
        <sz val="12"/>
        <color rgb="FF9900FF"/>
        <rFont val="Calibri"/>
        <family val="2"/>
        <scheme val="minor"/>
      </rPr>
      <t>Purple</t>
    </r>
    <r>
      <rPr>
        <sz val="12"/>
        <color rgb="FF000000"/>
        <rFont val="Calibri"/>
        <family val="2"/>
        <scheme val="minor"/>
      </rPr>
      <t xml:space="preserve">    </t>
    </r>
    <r>
      <rPr>
        <sz val="12"/>
        <color rgb="FF9900FF"/>
        <rFont val="Calibri"/>
        <family val="2"/>
        <scheme val="minor"/>
      </rPr>
      <t>|</t>
    </r>
    <r>
      <rPr>
        <sz val="12"/>
        <color rgb="FF000000"/>
        <rFont val="Calibri"/>
        <family val="2"/>
        <scheme val="minor"/>
      </rPr>
      <t xml:space="preserve">                          </t>
    </r>
    <r>
      <rPr>
        <sz val="12"/>
        <color rgb="FFFF0000"/>
        <rFont val="Calibri"/>
        <family val="2"/>
        <scheme val="minor"/>
      </rPr>
      <t>|</t>
    </r>
    <r>
      <rPr>
        <sz val="12"/>
        <color rgb="FF000000"/>
        <rFont val="Calibri"/>
        <family val="2"/>
        <scheme val="minor"/>
      </rPr>
      <t xml:space="preserve">    Pessimistic (Unlikely) = </t>
    </r>
    <r>
      <rPr>
        <sz val="12"/>
        <color rgb="FFFF0000"/>
        <rFont val="Calibri"/>
        <family val="2"/>
        <scheme val="minor"/>
      </rPr>
      <t>Red</t>
    </r>
    <r>
      <rPr>
        <sz val="12"/>
        <color rgb="FF000000"/>
        <rFont val="Calibri"/>
        <family val="2"/>
        <scheme val="minor"/>
      </rPr>
      <t xml:space="preserve">    </t>
    </r>
    <r>
      <rPr>
        <sz val="12"/>
        <color rgb="FFFF0000"/>
        <rFont val="Calibri"/>
        <family val="2"/>
        <scheme val="minor"/>
      </rPr>
      <t>|</t>
    </r>
  </si>
  <si>
    <t>Secrets</t>
  </si>
  <si>
    <t>Key/Misc</t>
  </si>
  <si>
    <t>Auto</t>
  </si>
  <si>
    <t>Flare</t>
  </si>
  <si>
    <t>Pickups</t>
  </si>
  <si>
    <t>Kills</t>
  </si>
  <si>
    <t>Levels</t>
  </si>
  <si>
    <t>Small Med</t>
  </si>
  <si>
    <t>Large Med</t>
  </si>
  <si>
    <t>Note: Each pickup is counted as a number, where 1 icon (including the weapon's icon itself) of a pickup = 1.</t>
  </si>
  <si>
    <t>No</t>
  </si>
  <si>
    <t>None</t>
  </si>
  <si>
    <t>Yes</t>
  </si>
  <si>
    <t>Select which Ammo sheet(s) to show.</t>
  </si>
  <si>
    <t>Totals</t>
  </si>
  <si>
    <t>M16 and Shotgun have ~ 0.4 second buffer before firing.</t>
  </si>
  <si>
    <t>The "Meds" tab is a way to track medkits for all main run types.</t>
  </si>
  <si>
    <t>Easiest way to contact is email:</t>
  </si>
  <si>
    <r>
      <t xml:space="preserve">If </t>
    </r>
    <r>
      <rPr>
        <sz val="12"/>
        <color rgb="FF000000"/>
        <rFont val="Calibri"/>
        <family val="2"/>
        <scheme val="minor"/>
      </rPr>
      <t>you credit me and also retain the above "Useful Links" in your work, feel free to fork or otherwise implement some or all of this work into your own. Under no circumstances may you include any or all of this work (or derivatives you may create) in any commercial product. If you'd like access to an unprotected version, need further info, or have a special request, my contact info is below.</t>
    </r>
  </si>
  <si>
    <t>Select which 100% Counts table(s) to show.</t>
  </si>
  <si>
    <t>Do you want to see the Meds sheet?</t>
  </si>
  <si>
    <t>Do you want to see the Flares sheet(s)?</t>
  </si>
  <si>
    <t>The "Flares" dropdown is not yet implemented.</t>
  </si>
  <si>
    <t>Scuba Diver</t>
  </si>
  <si>
    <r>
      <t xml:space="preserve">Instructions: If running NTSC-J (Japanese PS1) and/or NG+, select "Yes" in respective boxes. If you collect all of a Level's secrets, select "Yes" in the respective "All Secrets" box below the Level. Input enemies killed into the table at the top right using the dropdowns. Manually input formulas for each gun's "Level Ammo Usage" (not automatic -- weapon use is player choice). </t>
    </r>
    <r>
      <rPr>
        <i/>
        <sz val="12"/>
        <rFont val="Calibri"/>
        <family val="2"/>
        <scheme val="minor"/>
      </rPr>
      <t xml:space="preserve">ONLY </t>
    </r>
    <r>
      <rPr>
        <sz val="12"/>
        <color rgb="FF000000"/>
        <rFont val="Calibri"/>
        <family val="2"/>
        <scheme val="minor"/>
      </rPr>
      <t>input ammo collected into the table at bottom right; it automatically calculates the rest with assumptions of 100% accuracy and all double shots where applicable.</t>
    </r>
  </si>
  <si>
    <r>
      <t xml:space="preserve">Instructions: If running NTSC-J (Japanese PS1) and/or NG+, select "Yes" in respective boxes. If you collect all of a Level's secrets, select "Yes" in the respective "All Secrets" box below the Level. Input enemies killed into the table at the top right using the dropdowns. Manually input formulas for each gun's "Level Ammo Usage" (not automatic -- weapon use is player choice). </t>
    </r>
    <r>
      <rPr>
        <i/>
        <sz val="12"/>
        <rFont val="Calibri"/>
        <family val="2"/>
        <scheme val="minor"/>
      </rPr>
      <t>ONLY</t>
    </r>
    <r>
      <rPr>
        <sz val="12"/>
        <color rgb="FF000000"/>
        <rFont val="Calibri"/>
        <family val="2"/>
        <scheme val="minor"/>
      </rPr>
      <t xml:space="preserve"> input ammo collected into the table at bottom right; it automatically calculates the rest with assumptions of 100% accuracy and all double shots where applicable.</t>
    </r>
  </si>
  <si>
    <r>
      <t xml:space="preserve">Instructions: If running NTSC-J (Japanese PS1) and/or NG+, select "Yes" in respective boxes. Since this is Secrets%, the "All Secrets" row is preselected with "Yes" for all applicable levels. Input enemies killed into the table at the top right using the dropdowns. Manually input formulas for each gun's "Level Ammo Usage" (not automatic -- weapon use is player choice). </t>
    </r>
    <r>
      <rPr>
        <i/>
        <sz val="12"/>
        <rFont val="Calibri"/>
        <family val="2"/>
        <scheme val="minor"/>
      </rPr>
      <t xml:space="preserve">ONLY </t>
    </r>
    <r>
      <rPr>
        <sz val="12"/>
        <color rgb="FF000000"/>
        <rFont val="Calibri"/>
        <family val="2"/>
        <scheme val="minor"/>
      </rPr>
      <t>input ammo collected into the table at bottom right; it automatically calculates the rest with assumptions of 100% accuracy and all double shots where applicable.</t>
    </r>
  </si>
  <si>
    <r>
      <t xml:space="preserve">Instructions: If running NTSC-J (Japanese PS1) and/or NG+, select "Yes" in respective boxes. Since this is Secrets%, the "All Secrets" row is preselected with "Yes" for all levels where applicable. Input enemies killed into the table at the top right using the dropdowns. Manually input formulas for each gun's "Level Ammo Usage" (not automatic -- weapon use is player choice). </t>
    </r>
    <r>
      <rPr>
        <i/>
        <sz val="12"/>
        <rFont val="Calibri"/>
        <family val="2"/>
        <scheme val="minor"/>
      </rPr>
      <t xml:space="preserve">ONLY </t>
    </r>
    <r>
      <rPr>
        <sz val="12"/>
        <color rgb="FF000000"/>
        <rFont val="Calibri"/>
        <family val="2"/>
        <scheme val="minor"/>
      </rPr>
      <t>input ammo collected into the table at bottom right; it automatically calculates the rest with assumptions of 100% accuracy and all double shots where applicable.</t>
    </r>
  </si>
  <si>
    <t>This Excel workbook is intended to aid you in learning, routing, or optimizing TR2 speedruns. At the bottom, you'll see a "Menu" tab; there you'll find dropdowns to select which sheets you wish to view.</t>
  </si>
  <si>
    <t>So long as you don't functionally alter my work nor unprotect and/or alter/delete protected sheets, you may freely share your own  file(s) derived from this work to others.</t>
  </si>
  <si>
    <t>Hello, runner or interested fan! Welcome to MIDGETxSN1PES'     Tomb Raider II Speedrun Routing Resource Version 1.4.9!</t>
  </si>
  <si>
    <t>The "Ammo" tabs help track kills and ammo/gun usage.</t>
  </si>
  <si>
    <t>The "100% Counts" tabs give tallies for kills, pickups, etc.</t>
  </si>
  <si>
    <t>Uzis</t>
  </si>
  <si>
    <t>Harpoon Gun</t>
  </si>
  <si>
    <t>Opera</t>
  </si>
  <si>
    <r>
      <t xml:space="preserve">Instructions: If running NTSC-J (Japanese PS1) and/or NG+, select "Yes" in respective boxes. Ammo pickups, secret rewards, and enemy kill counts are already included -- you only need to indicate if you're going to kill the controversial Maria Doria shark with "Yes/No". </t>
    </r>
    <r>
      <rPr>
        <i/>
        <sz val="12"/>
        <rFont val="Calibri"/>
        <family val="2"/>
        <scheme val="minor"/>
      </rPr>
      <t>Only</t>
    </r>
    <r>
      <rPr>
        <sz val="12"/>
        <rFont val="Calibri"/>
        <family val="2"/>
        <scheme val="minor"/>
      </rPr>
      <t xml:space="preserve"> input formulas for each gun's "Level Ammo Usage" (not automatic -- weapon use is player choice). The table at bottom right calculates with assumptions of 100% accuracy and all double shots where applicable.</t>
    </r>
  </si>
  <si>
    <r>
      <t xml:space="preserve">Instructions: If running NTSC-J (Japanese PS1) and/or NG+, select "Yes" in respective boxes. Ammo pickups, secrets, and enemy kill counts are already included -- just indicate if you're killing the inaccessible Maria Doria shark and/or if you're going to pick up the UK Box-exclusive large med in Xian with the respective "Yes/No" boxes. </t>
    </r>
    <r>
      <rPr>
        <i/>
        <sz val="12"/>
        <rFont val="Calibri"/>
        <family val="2"/>
        <scheme val="minor"/>
      </rPr>
      <t>Only</t>
    </r>
    <r>
      <rPr>
        <sz val="12"/>
        <rFont val="Calibri"/>
        <family val="2"/>
        <scheme val="minor"/>
      </rPr>
      <t xml:space="preserve"> input formulas for each gun's "Level Ammo Usage" (not automatic -- weapon use is player choice). The table at bottom right calculates with assumptions of 100% accuracy and all double shots where applicable.</t>
    </r>
  </si>
  <si>
    <t>Med?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</si>
</sst>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color rgb="FF000000"/>
      <name val="Arial"/>
    </font>
    <font>
      <sz val="12"/>
      <name val="Calibri"/>
      <family val="2"/>
      <scheme val="minor"/>
    </font>
    <font>
      <sz val="12"/>
      <color rgb="FF000000"/>
      <name val="Calibri"/>
      <family val="2"/>
      <scheme val="minor"/>
    </font>
    <font>
      <u/>
      <sz val="12"/>
      <color rgb="FF0000FF"/>
      <name val="Calibri"/>
      <family val="2"/>
      <scheme val="minor"/>
    </font>
    <font>
      <i/>
      <sz val="12"/>
      <name val="Calibri"/>
      <family val="2"/>
      <scheme val="minor"/>
    </font>
    <font>
      <sz val="14"/>
      <name val="Calibri"/>
      <family val="2"/>
      <scheme val="minor"/>
    </font>
    <font>
      <b/>
      <sz val="12"/>
      <name val="Calibri"/>
      <family val="2"/>
      <scheme val="minor"/>
    </font>
    <font>
      <sz val="12"/>
      <color rgb="FF9900FF"/>
      <name val="Calibri"/>
      <family val="2"/>
      <scheme val="minor"/>
    </font>
    <font>
      <sz val="12"/>
      <color rgb="FFFF0000"/>
      <name val="Calibri"/>
      <family val="2"/>
      <scheme val="minor"/>
    </font>
    <font>
      <sz val="10"/>
      <color rgb="FF000000"/>
      <name val="Arial"/>
      <family val="2"/>
    </font>
    <font>
      <b/>
      <sz val="12"/>
      <color rgb="FF000000"/>
      <name val="Calibri"/>
      <family val="2"/>
      <scheme val="minor"/>
    </font>
    <font>
      <b/>
      <sz val="12"/>
      <color rgb="FFFFFFFF"/>
      <name val="Calibri"/>
      <family val="2"/>
      <scheme val="minor"/>
    </font>
    <font>
      <b/>
      <sz val="12"/>
      <color theme="1"/>
      <name val="Calibri"/>
      <family val="2"/>
      <scheme val="minor"/>
    </font>
    <font>
      <sz val="12"/>
      <color theme="1"/>
      <name val="Calibri"/>
      <family val="2"/>
      <scheme val="minor"/>
    </font>
    <font>
      <b/>
      <sz val="12"/>
      <color rgb="FFFFFF00"/>
      <name val="Calibri"/>
      <family val="2"/>
      <scheme val="minor"/>
    </font>
    <font>
      <sz val="12"/>
      <color rgb="FFFFFFFF"/>
      <name val="Calibri"/>
      <family val="2"/>
      <scheme val="minor"/>
    </font>
    <font>
      <sz val="12"/>
      <color rgb="FFFFFF00"/>
      <name val="Calibri"/>
      <family val="2"/>
      <scheme val="minor"/>
    </font>
    <font>
      <b/>
      <sz val="9"/>
      <color indexed="81"/>
      <name val="Tahoma"/>
      <family val="2"/>
    </font>
    <font>
      <sz val="12"/>
      <color theme="0"/>
      <name val="Calibri"/>
      <family val="2"/>
      <scheme val="minor"/>
    </font>
  </fonts>
  <fills count="39">
    <fill>
      <patternFill patternType="none"/>
    </fill>
    <fill>
      <patternFill patternType="gray125"/>
    </fill>
    <fill>
      <patternFill patternType="solid">
        <fgColor rgb="FF6AA84F"/>
        <bgColor rgb="FF6AA84F"/>
      </patternFill>
    </fill>
    <fill>
      <patternFill patternType="solid">
        <fgColor rgb="FFEA9999"/>
        <bgColor rgb="FFEA9999"/>
      </patternFill>
    </fill>
    <fill>
      <patternFill patternType="solid">
        <fgColor rgb="FF434343"/>
        <bgColor rgb="FF434343"/>
      </patternFill>
    </fill>
    <fill>
      <patternFill patternType="solid">
        <fgColor rgb="FFBF9000"/>
        <bgColor rgb="FFBF9000"/>
      </patternFill>
    </fill>
    <fill>
      <patternFill patternType="solid">
        <fgColor rgb="FFCFE2F3"/>
        <bgColor rgb="FFCFE2F3"/>
      </patternFill>
    </fill>
    <fill>
      <patternFill patternType="solid">
        <fgColor rgb="FF6D9EEB"/>
        <bgColor rgb="FF6D9EEB"/>
      </patternFill>
    </fill>
    <fill>
      <patternFill patternType="solid">
        <fgColor rgb="FFD9D2E9"/>
        <bgColor rgb="FFD9D2E9"/>
      </patternFill>
    </fill>
    <fill>
      <patternFill patternType="solid">
        <fgColor rgb="FFCCCCCC"/>
        <bgColor rgb="FFCCCCCC"/>
      </patternFill>
    </fill>
    <fill>
      <patternFill patternType="solid">
        <fgColor rgb="FF000000"/>
        <bgColor rgb="FF000000"/>
      </patternFill>
    </fill>
    <fill>
      <patternFill patternType="solid">
        <fgColor rgb="FF3C78D8"/>
        <bgColor rgb="FF3C78D8"/>
      </patternFill>
    </fill>
    <fill>
      <patternFill patternType="solid">
        <fgColor rgb="FFE56BE7"/>
        <bgColor rgb="FFE56BE7"/>
      </patternFill>
    </fill>
    <fill>
      <patternFill patternType="solid">
        <fgColor rgb="FFF4CCCC"/>
        <bgColor rgb="FFF4CCCC"/>
      </patternFill>
    </fill>
    <fill>
      <patternFill patternType="solid">
        <fgColor rgb="FFD9EAD3"/>
        <bgColor rgb="FFD9EAD3"/>
      </patternFill>
    </fill>
    <fill>
      <patternFill patternType="solid">
        <fgColor theme="0" tint="-0.14999847407452621"/>
        <bgColor indexed="64"/>
      </patternFill>
    </fill>
    <fill>
      <patternFill patternType="solid">
        <fgColor theme="0"/>
        <bgColor indexed="64"/>
      </patternFill>
    </fill>
    <fill>
      <patternFill patternType="solid">
        <fgColor rgb="FF6600FF"/>
        <bgColor indexed="64"/>
      </patternFill>
    </fill>
    <fill>
      <patternFill patternType="solid">
        <fgColor theme="0" tint="-0.249977111117893"/>
        <bgColor rgb="FFD9D9D9"/>
      </patternFill>
    </fill>
    <fill>
      <patternFill patternType="solid">
        <fgColor theme="0" tint="-0.249977111117893"/>
        <bgColor rgb="FFEFD98D"/>
      </patternFill>
    </fill>
    <fill>
      <patternFill patternType="solid">
        <fgColor theme="0" tint="-0.249977111117893"/>
        <bgColor indexed="64"/>
      </patternFill>
    </fill>
    <fill>
      <patternFill patternType="solid">
        <fgColor theme="7" tint="-0.499984740745262"/>
        <bgColor rgb="FFA97E00"/>
      </patternFill>
    </fill>
    <fill>
      <patternFill patternType="solid">
        <fgColor theme="7" tint="-0.499984740745262"/>
        <bgColor rgb="FFB18500"/>
      </patternFill>
    </fill>
    <fill>
      <patternFill patternType="solid">
        <fgColor rgb="FF74ACDE"/>
        <bgColor rgb="FF9FC5E8"/>
      </patternFill>
    </fill>
    <fill>
      <patternFill patternType="solid">
        <fgColor rgb="FFB6A8D0"/>
        <bgColor rgb="FFC6BBDA"/>
      </patternFill>
    </fill>
    <fill>
      <patternFill patternType="solid">
        <fgColor rgb="FFFD9BFF"/>
        <bgColor rgb="FFFD77FF"/>
      </patternFill>
    </fill>
    <fill>
      <patternFill patternType="solid">
        <fgColor theme="9" tint="0.39997558519241921"/>
        <bgColor rgb="FFB6D7A8"/>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D9BFF"/>
        <bgColor indexed="64"/>
      </patternFill>
    </fill>
    <fill>
      <patternFill patternType="solid">
        <fgColor rgb="FF90B5F0"/>
        <bgColor rgb="FF6D9EEB"/>
      </patternFill>
    </fill>
    <fill>
      <patternFill patternType="solid">
        <fgColor theme="1"/>
        <bgColor rgb="FF000000"/>
      </patternFill>
    </fill>
    <fill>
      <patternFill patternType="solid">
        <fgColor theme="1" tint="0.249977111117893"/>
        <bgColor rgb="FF434343"/>
      </patternFill>
    </fill>
    <fill>
      <patternFill patternType="solid">
        <fgColor theme="0"/>
        <bgColor rgb="FFEFEFEF"/>
      </patternFill>
    </fill>
    <fill>
      <patternFill patternType="solid">
        <fgColor rgb="FFF4CCCC"/>
        <bgColor indexed="64"/>
      </patternFill>
    </fill>
    <fill>
      <patternFill patternType="solid">
        <fgColor rgb="FFEA9999"/>
        <bgColor rgb="FFD9D9D9"/>
      </patternFill>
    </fill>
    <fill>
      <patternFill patternType="solid">
        <fgColor rgb="FFFFC819"/>
        <bgColor indexed="64"/>
      </patternFill>
    </fill>
    <fill>
      <patternFill patternType="solid">
        <fgColor rgb="FFFFC819"/>
        <bgColor rgb="FFEFD98D"/>
      </patternFill>
    </fill>
    <fill>
      <patternFill patternType="solid">
        <fgColor theme="7" tint="0.59999389629810485"/>
        <bgColor rgb="FFFFD966"/>
      </patternFill>
    </fill>
  </fills>
  <borders count="69">
    <border>
      <left/>
      <right/>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bottom/>
      <diagonal/>
    </border>
    <border>
      <left style="thin">
        <color indexed="64"/>
      </left>
      <right/>
      <top/>
      <bottom style="double">
        <color indexed="64"/>
      </bottom>
      <diagonal/>
    </border>
    <border>
      <left/>
      <right/>
      <top/>
      <bottom style="double">
        <color indexed="64"/>
      </bottom>
      <diagonal/>
    </border>
    <border>
      <left/>
      <right/>
      <top style="thin">
        <color indexed="64"/>
      </top>
      <bottom/>
      <diagonal/>
    </border>
    <border>
      <left style="thin">
        <color rgb="FF000000"/>
      </left>
      <right style="thin">
        <color rgb="FF000000"/>
      </right>
      <top/>
      <bottom style="double">
        <color indexed="64"/>
      </bottom>
      <diagonal/>
    </border>
    <border>
      <left style="thin">
        <color rgb="FF000000"/>
      </left>
      <right/>
      <top/>
      <bottom style="double">
        <color indexed="64"/>
      </bottom>
      <diagonal/>
    </border>
    <border>
      <left/>
      <right style="thin">
        <color rgb="FF000000"/>
      </right>
      <top/>
      <bottom style="double">
        <color indexed="64"/>
      </bottom>
      <diagonal/>
    </border>
    <border>
      <left style="thin">
        <color rgb="FF000000"/>
      </left>
      <right/>
      <top style="double">
        <color indexed="64"/>
      </top>
      <bottom/>
      <diagonal/>
    </border>
    <border>
      <left/>
      <right/>
      <top style="double">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rgb="FF000000"/>
      </right>
      <top/>
      <bottom style="medium">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right style="medium">
        <color indexed="64"/>
      </right>
      <top/>
      <bottom style="double">
        <color indexed="64"/>
      </bottom>
      <diagonal/>
    </border>
    <border>
      <left style="thin">
        <color rgb="FF000000"/>
      </left>
      <right style="thin">
        <color indexed="64"/>
      </right>
      <top/>
      <bottom style="thin">
        <color rgb="FF000000"/>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rgb="FF000000"/>
      </bottom>
      <diagonal/>
    </border>
    <border>
      <left style="medium">
        <color indexed="64"/>
      </left>
      <right style="thin">
        <color rgb="FF000000"/>
      </right>
      <top style="medium">
        <color indexed="64"/>
      </top>
      <bottom/>
      <diagonal/>
    </border>
    <border>
      <left style="thin">
        <color rgb="FF000000"/>
      </left>
      <right/>
      <top style="medium">
        <color indexed="64"/>
      </top>
      <bottom/>
      <diagonal/>
    </border>
    <border>
      <left/>
      <right style="thin">
        <color rgb="FF000000"/>
      </right>
      <top style="medium">
        <color indexed="64"/>
      </top>
      <bottom/>
      <diagonal/>
    </border>
    <border>
      <left style="medium">
        <color indexed="64"/>
      </left>
      <right style="thin">
        <color rgb="FF000000"/>
      </right>
      <top/>
      <bottom style="double">
        <color indexed="64"/>
      </bottom>
      <diagonal/>
    </border>
    <border>
      <left style="medium">
        <color indexed="64"/>
      </left>
      <right style="thin">
        <color rgb="FF000000"/>
      </right>
      <top/>
      <bottom/>
      <diagonal/>
    </border>
    <border>
      <left style="medium">
        <color indexed="64"/>
      </left>
      <right style="thin">
        <color rgb="FF000000"/>
      </right>
      <top style="double">
        <color indexed="64"/>
      </top>
      <bottom/>
      <diagonal/>
    </border>
    <border>
      <left/>
      <right style="medium">
        <color indexed="64"/>
      </right>
      <top style="double">
        <color indexed="64"/>
      </top>
      <bottom/>
      <diagonal/>
    </border>
    <border>
      <left style="thin">
        <color rgb="FF000000"/>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rgb="FF000000"/>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diagonal/>
    </border>
    <border>
      <left/>
      <right style="thin">
        <color indexed="64"/>
      </right>
      <top style="thin">
        <color rgb="FF000000"/>
      </top>
      <bottom/>
      <diagonal/>
    </border>
    <border>
      <left/>
      <right style="thin">
        <color rgb="FF000000"/>
      </right>
      <top/>
      <bottom style="thin">
        <color indexed="64"/>
      </bottom>
      <diagonal/>
    </border>
    <border>
      <left style="thin">
        <color rgb="FF000000"/>
      </left>
      <right/>
      <top/>
      <bottom style="thin">
        <color indexed="64"/>
      </bottom>
      <diagonal/>
    </border>
    <border>
      <left/>
      <right/>
      <top style="medium">
        <color indexed="64"/>
      </top>
      <bottom/>
      <diagonal/>
    </border>
  </borders>
  <cellStyleXfs count="2">
    <xf numFmtId="0" fontId="0" fillId="0" borderId="0"/>
    <xf numFmtId="0" fontId="9" fillId="0" borderId="0"/>
  </cellStyleXfs>
  <cellXfs count="380">
    <xf numFmtId="0" fontId="0" fillId="0" borderId="0" xfId="0" applyFont="1" applyAlignment="1"/>
    <xf numFmtId="0" fontId="2" fillId="0" borderId="0" xfId="0" applyFont="1" applyAlignment="1"/>
    <xf numFmtId="0" fontId="2" fillId="0" borderId="0" xfId="0" applyFont="1" applyAlignment="1"/>
    <xf numFmtId="0" fontId="1" fillId="0" borderId="11" xfId="0" applyFont="1" applyBorder="1" applyAlignment="1">
      <alignment horizontal="left"/>
    </xf>
    <xf numFmtId="0" fontId="1" fillId="0" borderId="9" xfId="0" applyFont="1" applyBorder="1" applyAlignment="1">
      <alignment horizontal="left"/>
    </xf>
    <xf numFmtId="0" fontId="7" fillId="0" borderId="0" xfId="0" applyFont="1" applyFill="1" applyBorder="1" applyAlignment="1">
      <alignment horizontal="center"/>
    </xf>
    <xf numFmtId="0" fontId="8" fillId="0" borderId="0" xfId="0" applyFont="1" applyFill="1" applyBorder="1" applyAlignment="1">
      <alignment horizontal="center"/>
    </xf>
    <xf numFmtId="0" fontId="7" fillId="15" borderId="0" xfId="0" applyFont="1" applyFill="1" applyBorder="1" applyAlignment="1">
      <alignment horizontal="center"/>
    </xf>
    <xf numFmtId="0" fontId="8" fillId="15" borderId="0" xfId="0" applyFont="1" applyFill="1" applyBorder="1" applyAlignment="1">
      <alignment horizontal="center"/>
    </xf>
    <xf numFmtId="0" fontId="7" fillId="0" borderId="25" xfId="0" applyFont="1" applyFill="1" applyBorder="1" applyAlignment="1">
      <alignment horizontal="center"/>
    </xf>
    <xf numFmtId="0" fontId="8" fillId="0" borderId="19" xfId="0" applyFont="1" applyFill="1" applyBorder="1" applyAlignment="1">
      <alignment horizontal="center"/>
    </xf>
    <xf numFmtId="0" fontId="7" fillId="0" borderId="19" xfId="0" applyFont="1" applyFill="1" applyBorder="1" applyAlignment="1">
      <alignment horizontal="center"/>
    </xf>
    <xf numFmtId="0" fontId="8" fillId="0" borderId="27" xfId="0" applyFont="1" applyFill="1" applyBorder="1" applyAlignment="1">
      <alignment horizontal="center"/>
    </xf>
    <xf numFmtId="0" fontId="7" fillId="15" borderId="16" xfId="0" applyFont="1" applyFill="1" applyBorder="1" applyAlignment="1">
      <alignment horizontal="center"/>
    </xf>
    <xf numFmtId="0" fontId="8" fillId="15" borderId="28" xfId="0" applyFont="1" applyFill="1" applyBorder="1" applyAlignment="1">
      <alignment horizontal="center"/>
    </xf>
    <xf numFmtId="0" fontId="7" fillId="0" borderId="16" xfId="0" applyFont="1" applyFill="1" applyBorder="1" applyAlignment="1">
      <alignment horizontal="center"/>
    </xf>
    <xf numFmtId="0" fontId="8" fillId="0" borderId="28" xfId="0" applyFont="1" applyFill="1" applyBorder="1" applyAlignment="1">
      <alignment horizontal="center"/>
    </xf>
    <xf numFmtId="0" fontId="7" fillId="15" borderId="26" xfId="0" applyFont="1" applyFill="1" applyBorder="1" applyAlignment="1">
      <alignment horizontal="center"/>
    </xf>
    <xf numFmtId="0" fontId="8" fillId="15" borderId="29" xfId="0" applyFont="1" applyFill="1" applyBorder="1" applyAlignment="1">
      <alignment horizontal="center"/>
    </xf>
    <xf numFmtId="0" fontId="7" fillId="15" borderId="29" xfId="0" applyFont="1" applyFill="1" applyBorder="1" applyAlignment="1">
      <alignment horizontal="center"/>
    </xf>
    <xf numFmtId="0" fontId="8" fillId="15" borderId="30" xfId="0" applyFont="1" applyFill="1" applyBorder="1" applyAlignment="1">
      <alignment horizontal="center"/>
    </xf>
    <xf numFmtId="0" fontId="2" fillId="0" borderId="0" xfId="1" applyFont="1" applyAlignment="1"/>
    <xf numFmtId="0" fontId="2" fillId="0" borderId="38" xfId="1" applyFont="1" applyFill="1" applyBorder="1" applyAlignment="1">
      <alignment horizontal="center" vertical="center"/>
    </xf>
    <xf numFmtId="0" fontId="2" fillId="0" borderId="39" xfId="1" applyFont="1" applyFill="1" applyBorder="1" applyAlignment="1">
      <alignment horizontal="center" vertical="center"/>
    </xf>
    <xf numFmtId="0" fontId="11" fillId="11" borderId="7" xfId="0" applyFont="1" applyFill="1" applyBorder="1" applyAlignment="1">
      <alignment horizontal="center" vertical="center"/>
    </xf>
    <xf numFmtId="0" fontId="15" fillId="4" borderId="11" xfId="0" applyFont="1" applyFill="1" applyBorder="1" applyAlignment="1">
      <alignment horizontal="center" vertical="center"/>
    </xf>
    <xf numFmtId="0" fontId="16" fillId="5" borderId="13" xfId="0" applyFont="1" applyFill="1" applyBorder="1" applyAlignment="1">
      <alignment horizontal="center" vertical="center"/>
    </xf>
    <xf numFmtId="0" fontId="2" fillId="6" borderId="0" xfId="0" applyFont="1" applyFill="1" applyAlignment="1">
      <alignment horizontal="center" vertical="center"/>
    </xf>
    <xf numFmtId="1" fontId="2" fillId="8" borderId="0" xfId="0" applyNumberFormat="1" applyFont="1" applyFill="1" applyAlignment="1">
      <alignment horizontal="center" vertical="center"/>
    </xf>
    <xf numFmtId="0" fontId="15" fillId="10" borderId="11" xfId="0" applyFont="1" applyFill="1" applyBorder="1" applyAlignment="1">
      <alignment horizontal="center" vertical="center"/>
    </xf>
    <xf numFmtId="1" fontId="15" fillId="11" borderId="13" xfId="0" applyNumberFormat="1" applyFont="1" applyFill="1" applyBorder="1" applyAlignment="1">
      <alignment horizontal="center" vertical="center"/>
    </xf>
    <xf numFmtId="0" fontId="2" fillId="6" borderId="0" xfId="0" applyFont="1" applyFill="1" applyBorder="1" applyAlignment="1">
      <alignment horizontal="center" vertical="center"/>
    </xf>
    <xf numFmtId="1" fontId="2" fillId="8" borderId="0" xfId="0" applyNumberFormat="1" applyFont="1" applyFill="1" applyBorder="1" applyAlignment="1">
      <alignment horizontal="center" vertical="center"/>
    </xf>
    <xf numFmtId="0" fontId="1" fillId="0" borderId="0" xfId="0" applyFont="1" applyAlignment="1">
      <alignment horizontal="center" vertical="center" textRotation="45" wrapText="1"/>
    </xf>
    <xf numFmtId="0" fontId="1" fillId="0" borderId="0" xfId="0" applyFont="1" applyAlignment="1">
      <alignment horizontal="center" vertical="center"/>
    </xf>
    <xf numFmtId="0" fontId="16" fillId="5" borderId="1" xfId="0" applyFont="1" applyFill="1" applyBorder="1" applyAlignment="1">
      <alignment horizontal="center" vertical="center"/>
    </xf>
    <xf numFmtId="0" fontId="2" fillId="6" borderId="6" xfId="0" applyFont="1" applyFill="1" applyBorder="1" applyAlignment="1">
      <alignment horizontal="center" vertical="center"/>
    </xf>
    <xf numFmtId="0" fontId="2" fillId="8" borderId="6" xfId="0" applyFont="1" applyFill="1" applyBorder="1" applyAlignment="1">
      <alignment horizontal="center" vertical="center"/>
    </xf>
    <xf numFmtId="0" fontId="15" fillId="10" borderId="14" xfId="0" applyFont="1" applyFill="1" applyBorder="1" applyAlignment="1">
      <alignment horizontal="center" vertical="center"/>
    </xf>
    <xf numFmtId="0" fontId="15" fillId="11" borderId="7" xfId="0" applyFont="1" applyFill="1" applyBorder="1" applyAlignment="1">
      <alignment horizontal="center" vertical="center"/>
    </xf>
    <xf numFmtId="0" fontId="2" fillId="12" borderId="7" xfId="0" applyFont="1" applyFill="1" applyBorder="1" applyAlignment="1">
      <alignment horizontal="center" vertical="center"/>
    </xf>
    <xf numFmtId="0" fontId="1" fillId="13" borderId="4" xfId="0" applyFont="1" applyFill="1" applyBorder="1" applyAlignment="1">
      <alignment horizontal="center" vertical="center"/>
    </xf>
    <xf numFmtId="0" fontId="1" fillId="13" borderId="5" xfId="0" applyFont="1" applyFill="1" applyBorder="1" applyAlignment="1">
      <alignment horizontal="center" vertical="center"/>
    </xf>
    <xf numFmtId="0" fontId="1" fillId="13" borderId="14" xfId="0" applyFont="1" applyFill="1" applyBorder="1" applyAlignment="1">
      <alignment horizontal="center" vertical="center"/>
    </xf>
    <xf numFmtId="0" fontId="1" fillId="13" borderId="10" xfId="0" applyFont="1" applyFill="1" applyBorder="1" applyAlignment="1">
      <alignment horizontal="center" vertical="center"/>
    </xf>
    <xf numFmtId="0" fontId="1" fillId="14" borderId="1" xfId="0" applyFont="1" applyFill="1" applyBorder="1" applyAlignment="1">
      <alignment horizontal="center" vertical="center"/>
    </xf>
    <xf numFmtId="0" fontId="15" fillId="4" borderId="0" xfId="0" applyFont="1" applyFill="1" applyAlignment="1">
      <alignment horizontal="center" vertical="center"/>
    </xf>
    <xf numFmtId="0" fontId="1" fillId="0" borderId="11" xfId="0" applyFont="1" applyBorder="1" applyAlignment="1">
      <alignment horizontal="center" vertical="center"/>
    </xf>
    <xf numFmtId="0" fontId="15" fillId="10" borderId="0" xfId="0" applyFont="1" applyFill="1" applyAlignment="1">
      <alignment horizontal="center" vertical="center"/>
    </xf>
    <xf numFmtId="1" fontId="2" fillId="12" borderId="13" xfId="0" applyNumberFormat="1" applyFont="1" applyFill="1" applyBorder="1" applyAlignment="1">
      <alignment horizontal="center" vertical="center"/>
    </xf>
    <xf numFmtId="0" fontId="1" fillId="14" borderId="13" xfId="0" applyFont="1" applyFill="1" applyBorder="1" applyAlignment="1">
      <alignment horizontal="center" vertical="center"/>
    </xf>
    <xf numFmtId="0" fontId="1" fillId="14" borderId="9" xfId="0" applyFont="1" applyFill="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5" fillId="4" borderId="9" xfId="0" applyFont="1" applyFill="1" applyBorder="1" applyAlignment="1">
      <alignment horizontal="center" vertical="center"/>
    </xf>
    <xf numFmtId="0" fontId="15" fillId="4" borderId="14" xfId="0" applyFont="1" applyFill="1" applyBorder="1" applyAlignment="1">
      <alignment horizontal="center" vertical="center"/>
    </xf>
    <xf numFmtId="0" fontId="16" fillId="5" borderId="7" xfId="0" applyFont="1" applyFill="1" applyBorder="1" applyAlignment="1">
      <alignment horizontal="center" vertical="center"/>
    </xf>
    <xf numFmtId="0" fontId="2" fillId="6" borderId="14" xfId="0" applyFont="1" applyFill="1" applyBorder="1" applyAlignment="1">
      <alignment horizontal="center" vertical="center"/>
    </xf>
    <xf numFmtId="1" fontId="2" fillId="8" borderId="10" xfId="0" applyNumberFormat="1" applyFont="1" applyFill="1" applyBorder="1" applyAlignment="1">
      <alignment horizontal="center" vertical="center"/>
    </xf>
    <xf numFmtId="0" fontId="1" fillId="0" borderId="0" xfId="0" applyFont="1" applyAlignment="1">
      <alignment horizontal="center" vertical="center" wrapText="1"/>
    </xf>
    <xf numFmtId="0" fontId="15" fillId="4" borderId="2" xfId="0" applyFont="1" applyFill="1" applyBorder="1" applyAlignment="1">
      <alignment horizontal="center" vertical="center"/>
    </xf>
    <xf numFmtId="0" fontId="16" fillId="5" borderId="2" xfId="0" applyFont="1" applyFill="1" applyBorder="1" applyAlignment="1">
      <alignment horizontal="center" vertical="center"/>
    </xf>
    <xf numFmtId="0" fontId="1" fillId="6" borderId="1" xfId="0" applyFont="1" applyFill="1" applyBorder="1" applyAlignment="1">
      <alignment horizontal="center" vertical="center"/>
    </xf>
    <xf numFmtId="0" fontId="15" fillId="7" borderId="3" xfId="0" applyFont="1" applyFill="1" applyBorder="1" applyAlignment="1">
      <alignment horizontal="center" vertical="center"/>
    </xf>
    <xf numFmtId="0" fontId="1" fillId="8" borderId="3" xfId="0" applyFont="1" applyFill="1" applyBorder="1" applyAlignment="1">
      <alignment horizontal="center" vertical="center"/>
    </xf>
    <xf numFmtId="0" fontId="6" fillId="2" borderId="1" xfId="0" applyFont="1" applyFill="1" applyBorder="1" applyAlignment="1">
      <alignment horizontal="center" vertical="center"/>
    </xf>
    <xf numFmtId="0" fontId="15" fillId="11" borderId="12" xfId="0" applyFont="1" applyFill="1" applyBorder="1" applyAlignment="1">
      <alignment horizontal="center" vertical="center"/>
    </xf>
    <xf numFmtId="0" fontId="1" fillId="12" borderId="12" xfId="0" applyFont="1" applyFill="1" applyBorder="1" applyAlignment="1">
      <alignment horizontal="center" vertical="center"/>
    </xf>
    <xf numFmtId="0" fontId="1" fillId="0" borderId="1" xfId="0" applyFont="1" applyBorder="1" applyAlignment="1">
      <alignment horizontal="center" vertical="center"/>
    </xf>
    <xf numFmtId="0" fontId="1" fillId="0" borderId="6" xfId="0" applyFont="1" applyBorder="1" applyAlignment="1">
      <alignment horizontal="center" vertical="center"/>
    </xf>
    <xf numFmtId="0" fontId="1" fillId="0" borderId="3" xfId="0" applyFont="1" applyBorder="1" applyAlignment="1">
      <alignment horizontal="center" vertical="center"/>
    </xf>
    <xf numFmtId="0" fontId="1" fillId="0" borderId="0" xfId="0" applyFont="1"/>
    <xf numFmtId="0" fontId="15" fillId="4" borderId="13" xfId="0" applyFont="1" applyFill="1" applyBorder="1" applyAlignment="1">
      <alignment horizontal="center" vertical="center"/>
    </xf>
    <xf numFmtId="0" fontId="15" fillId="4" borderId="12" xfId="0" applyFont="1" applyFill="1" applyBorder="1" applyAlignment="1">
      <alignment horizontal="center" vertical="center"/>
    </xf>
    <xf numFmtId="0" fontId="16" fillId="5" borderId="0" xfId="0" applyFont="1" applyFill="1" applyAlignment="1">
      <alignment horizontal="center" vertical="center"/>
    </xf>
    <xf numFmtId="0" fontId="16" fillId="5" borderId="12" xfId="0" applyFont="1" applyFill="1" applyBorder="1" applyAlignment="1">
      <alignment horizontal="center" vertical="center"/>
    </xf>
    <xf numFmtId="0" fontId="1" fillId="6" borderId="13" xfId="0" applyFont="1" applyFill="1" applyBorder="1" applyAlignment="1">
      <alignment horizontal="center" vertical="center"/>
    </xf>
    <xf numFmtId="0" fontId="1" fillId="6" borderId="0" xfId="0" applyFont="1" applyFill="1" applyAlignment="1">
      <alignment horizontal="center" vertical="center"/>
    </xf>
    <xf numFmtId="0" fontId="1" fillId="6" borderId="12" xfId="0" applyFont="1" applyFill="1" applyBorder="1" applyAlignment="1">
      <alignment horizontal="center" vertical="center"/>
    </xf>
    <xf numFmtId="0" fontId="15" fillId="7" borderId="12" xfId="0" applyFont="1" applyFill="1" applyBorder="1" applyAlignment="1">
      <alignment horizontal="center" vertical="center"/>
    </xf>
    <xf numFmtId="0" fontId="1" fillId="8" borderId="13" xfId="0" applyFont="1" applyFill="1" applyBorder="1" applyAlignment="1">
      <alignment horizontal="center" vertical="center"/>
    </xf>
    <xf numFmtId="0" fontId="2" fillId="8" borderId="0" xfId="0" applyFont="1" applyFill="1" applyAlignment="1">
      <alignment horizontal="center" vertical="center"/>
    </xf>
    <xf numFmtId="0" fontId="1" fillId="8" borderId="0" xfId="0" applyFont="1" applyFill="1" applyAlignment="1">
      <alignment horizontal="center" vertical="center"/>
    </xf>
    <xf numFmtId="0" fontId="1" fillId="8" borderId="12" xfId="0" applyFont="1" applyFill="1" applyBorder="1" applyAlignment="1">
      <alignment horizontal="center" vertical="center"/>
    </xf>
    <xf numFmtId="0" fontId="1" fillId="12" borderId="11" xfId="0" applyFont="1" applyFill="1" applyBorder="1" applyAlignment="1">
      <alignment horizontal="center" vertical="center"/>
    </xf>
    <xf numFmtId="0" fontId="1" fillId="13" borderId="2" xfId="0" applyFont="1" applyFill="1" applyBorder="1" applyAlignment="1">
      <alignment horizontal="center" vertical="center"/>
    </xf>
    <xf numFmtId="0" fontId="15" fillId="4" borderId="6" xfId="0" applyFont="1" applyFill="1" applyBorder="1" applyAlignment="1">
      <alignment horizontal="center" vertical="center"/>
    </xf>
    <xf numFmtId="0" fontId="16" fillId="5" borderId="6" xfId="0" applyFont="1" applyFill="1" applyBorder="1" applyAlignment="1">
      <alignment horizontal="center" vertical="center"/>
    </xf>
    <xf numFmtId="0" fontId="16" fillId="5" borderId="3" xfId="0" applyFont="1" applyFill="1" applyBorder="1" applyAlignment="1">
      <alignment horizontal="center" vertical="center"/>
    </xf>
    <xf numFmtId="0" fontId="1" fillId="6" borderId="6" xfId="0" applyFont="1" applyFill="1" applyBorder="1" applyAlignment="1">
      <alignment horizontal="center" vertical="center"/>
    </xf>
    <xf numFmtId="0" fontId="15" fillId="7" borderId="2" xfId="0" applyFont="1" applyFill="1" applyBorder="1" applyAlignment="1">
      <alignment horizontal="center" vertical="center"/>
    </xf>
    <xf numFmtId="0" fontId="1" fillId="8" borderId="6" xfId="0" applyFont="1" applyFill="1" applyBorder="1" applyAlignment="1">
      <alignment horizontal="center" vertical="center"/>
    </xf>
    <xf numFmtId="0" fontId="1" fillId="3" borderId="11" xfId="0" applyFont="1" applyFill="1" applyBorder="1" applyAlignment="1">
      <alignment horizontal="center" vertical="center"/>
    </xf>
    <xf numFmtId="0" fontId="15" fillId="11" borderId="11" xfId="0" applyFont="1" applyFill="1" applyBorder="1" applyAlignment="1">
      <alignment horizontal="center" vertical="center"/>
    </xf>
    <xf numFmtId="0" fontId="1" fillId="13" borderId="11" xfId="0" applyFont="1" applyFill="1" applyBorder="1" applyAlignment="1">
      <alignment horizontal="center" vertical="center"/>
    </xf>
    <xf numFmtId="0" fontId="16" fillId="5" borderId="11" xfId="0" applyFont="1" applyFill="1" applyBorder="1" applyAlignment="1">
      <alignment horizontal="center" vertical="center"/>
    </xf>
    <xf numFmtId="0" fontId="15" fillId="7" borderId="11" xfId="0" applyFont="1" applyFill="1" applyBorder="1" applyAlignment="1">
      <alignment horizontal="center" vertical="center"/>
    </xf>
    <xf numFmtId="0" fontId="1" fillId="3" borderId="9" xfId="0" applyFont="1" applyFill="1" applyBorder="1" applyAlignment="1">
      <alignment horizontal="center" vertical="center"/>
    </xf>
    <xf numFmtId="0" fontId="13" fillId="16" borderId="11" xfId="0" applyFont="1" applyFill="1" applyBorder="1" applyAlignment="1">
      <alignment horizontal="center" vertical="center"/>
    </xf>
    <xf numFmtId="0" fontId="1" fillId="16" borderId="0" xfId="0" applyFont="1" applyFill="1" applyAlignment="1">
      <alignment horizontal="center" vertical="center"/>
    </xf>
    <xf numFmtId="0" fontId="1" fillId="15" borderId="0" xfId="0" applyFont="1" applyFill="1" applyAlignment="1">
      <alignment horizontal="center" vertical="center"/>
    </xf>
    <xf numFmtId="0" fontId="1" fillId="0" borderId="0" xfId="0" applyFont="1" applyBorder="1" applyAlignment="1">
      <alignment horizontal="center" vertical="center"/>
    </xf>
    <xf numFmtId="0" fontId="2" fillId="0" borderId="0" xfId="0" applyFont="1" applyAlignment="1">
      <alignment horizontal="center" vertical="center"/>
    </xf>
    <xf numFmtId="0" fontId="2" fillId="17" borderId="0" xfId="0" applyFont="1" applyFill="1" applyAlignment="1">
      <alignment horizontal="center" vertical="center"/>
    </xf>
    <xf numFmtId="0" fontId="2" fillId="0" borderId="0" xfId="0" applyFont="1" applyFill="1" applyAlignment="1">
      <alignment horizontal="center" vertical="center"/>
    </xf>
    <xf numFmtId="0" fontId="15" fillId="10" borderId="21" xfId="0" applyFont="1" applyFill="1" applyBorder="1" applyAlignment="1">
      <alignment horizontal="center" vertical="center"/>
    </xf>
    <xf numFmtId="1" fontId="15" fillId="11" borderId="20" xfId="0" applyNumberFormat="1" applyFont="1" applyFill="1" applyBorder="1" applyAlignment="1">
      <alignment horizontal="center" vertical="center"/>
    </xf>
    <xf numFmtId="0" fontId="2" fillId="0" borderId="0" xfId="0" applyFont="1" applyAlignment="1"/>
    <xf numFmtId="0" fontId="2" fillId="0" borderId="0" xfId="0" applyFont="1" applyAlignment="1"/>
    <xf numFmtId="0" fontId="15" fillId="4" borderId="2" xfId="0" applyFont="1" applyFill="1" applyBorder="1" applyAlignment="1">
      <alignment horizontal="center" vertical="center"/>
    </xf>
    <xf numFmtId="0" fontId="15" fillId="7" borderId="6" xfId="0" applyFont="1" applyFill="1" applyBorder="1" applyAlignment="1">
      <alignment horizontal="center" vertical="center"/>
    </xf>
    <xf numFmtId="0" fontId="1" fillId="18" borderId="9" xfId="0" applyFont="1" applyFill="1" applyBorder="1" applyAlignment="1">
      <alignment horizontal="center" vertical="center"/>
    </xf>
    <xf numFmtId="0" fontId="1" fillId="18" borderId="14" xfId="0" applyFont="1" applyFill="1" applyBorder="1" applyAlignment="1">
      <alignment horizontal="center" vertical="center"/>
    </xf>
    <xf numFmtId="0" fontId="1" fillId="18" borderId="0" xfId="0" applyFont="1" applyFill="1" applyAlignment="1">
      <alignment horizontal="center" vertical="center"/>
    </xf>
    <xf numFmtId="0" fontId="2" fillId="19" borderId="39" xfId="1" applyFont="1" applyFill="1" applyBorder="1" applyAlignment="1">
      <alignment horizontal="center" vertical="center"/>
    </xf>
    <xf numFmtId="0" fontId="2" fillId="19" borderId="42" xfId="1" applyFont="1" applyFill="1" applyBorder="1" applyAlignment="1">
      <alignment horizontal="center" vertical="center"/>
    </xf>
    <xf numFmtId="0" fontId="16" fillId="21" borderId="7" xfId="0" applyFont="1" applyFill="1" applyBorder="1" applyAlignment="1">
      <alignment horizontal="center" vertical="center"/>
    </xf>
    <xf numFmtId="0" fontId="16" fillId="21" borderId="13" xfId="0" applyFont="1" applyFill="1" applyBorder="1" applyAlignment="1">
      <alignment horizontal="center" vertical="center"/>
    </xf>
    <xf numFmtId="0" fontId="16" fillId="21" borderId="11" xfId="0" applyFont="1" applyFill="1" applyBorder="1" applyAlignment="1">
      <alignment horizontal="center" vertical="center"/>
    </xf>
    <xf numFmtId="0" fontId="16" fillId="22" borderId="13" xfId="0" applyFont="1" applyFill="1" applyBorder="1" applyAlignment="1">
      <alignment horizontal="center" vertical="center"/>
    </xf>
    <xf numFmtId="0" fontId="2" fillId="23" borderId="0" xfId="0" applyFont="1" applyFill="1" applyAlignment="1">
      <alignment horizontal="center" vertical="center"/>
    </xf>
    <xf numFmtId="0" fontId="2" fillId="23" borderId="14" xfId="0" applyFont="1" applyFill="1" applyBorder="1" applyAlignment="1">
      <alignment horizontal="center" vertical="center"/>
    </xf>
    <xf numFmtId="0" fontId="1" fillId="23" borderId="13" xfId="0" applyFont="1" applyFill="1" applyBorder="1" applyAlignment="1">
      <alignment horizontal="center" vertical="center"/>
    </xf>
    <xf numFmtId="0" fontId="2" fillId="24" borderId="14" xfId="0" applyFont="1" applyFill="1" applyBorder="1" applyAlignment="1">
      <alignment horizontal="center" vertical="center"/>
    </xf>
    <xf numFmtId="1" fontId="2" fillId="24" borderId="0" xfId="0" applyNumberFormat="1" applyFont="1" applyFill="1" applyAlignment="1">
      <alignment horizontal="center" vertical="center"/>
    </xf>
    <xf numFmtId="0" fontId="2" fillId="25" borderId="1" xfId="0" applyFont="1" applyFill="1" applyBorder="1" applyAlignment="1">
      <alignment horizontal="center" vertical="center"/>
    </xf>
    <xf numFmtId="1" fontId="2" fillId="25" borderId="13" xfId="0" applyNumberFormat="1" applyFont="1" applyFill="1" applyBorder="1" applyAlignment="1">
      <alignment horizontal="center" vertical="center"/>
    </xf>
    <xf numFmtId="1" fontId="2" fillId="25" borderId="7" xfId="0" applyNumberFormat="1" applyFont="1" applyFill="1" applyBorder="1" applyAlignment="1">
      <alignment horizontal="center" vertical="center"/>
    </xf>
    <xf numFmtId="0" fontId="1" fillId="25" borderId="3" xfId="0" applyFont="1" applyFill="1" applyBorder="1" applyAlignment="1">
      <alignment horizontal="center" vertical="center"/>
    </xf>
    <xf numFmtId="0" fontId="1" fillId="26" borderId="13" xfId="0" applyFont="1" applyFill="1" applyBorder="1" applyAlignment="1">
      <alignment horizontal="center" vertical="center"/>
    </xf>
    <xf numFmtId="0" fontId="1" fillId="14" borderId="44" xfId="0" applyFont="1" applyFill="1" applyBorder="1" applyAlignment="1">
      <alignment horizontal="center" vertical="center"/>
    </xf>
    <xf numFmtId="0" fontId="1" fillId="24" borderId="12" xfId="0" applyFont="1" applyFill="1" applyBorder="1" applyAlignment="1">
      <alignment horizontal="center" vertical="center"/>
    </xf>
    <xf numFmtId="0" fontId="2" fillId="16" borderId="0" xfId="0" applyFont="1" applyFill="1" applyAlignment="1">
      <alignment vertical="center"/>
    </xf>
    <xf numFmtId="0" fontId="16" fillId="21" borderId="12" xfId="0" applyFont="1" applyFill="1" applyBorder="1" applyAlignment="1">
      <alignment horizontal="center" vertical="center"/>
    </xf>
    <xf numFmtId="0" fontId="1" fillId="25" borderId="2" xfId="0" applyFont="1" applyFill="1" applyBorder="1" applyAlignment="1">
      <alignment horizontal="center" vertical="center"/>
    </xf>
    <xf numFmtId="0" fontId="1" fillId="25" borderId="6" xfId="0" applyFont="1" applyFill="1" applyBorder="1" applyAlignment="1">
      <alignment horizontal="center" vertical="center"/>
    </xf>
    <xf numFmtId="0" fontId="1" fillId="25" borderId="11" xfId="0" applyFont="1" applyFill="1" applyBorder="1" applyAlignment="1">
      <alignment horizontal="center" vertical="center"/>
    </xf>
    <xf numFmtId="0" fontId="15" fillId="30" borderId="1" xfId="0" applyFont="1" applyFill="1" applyBorder="1" applyAlignment="1">
      <alignment horizontal="center" vertical="center"/>
    </xf>
    <xf numFmtId="1" fontId="15" fillId="30" borderId="13" xfId="0" applyNumberFormat="1" applyFont="1" applyFill="1" applyBorder="1" applyAlignment="1">
      <alignment horizontal="center" vertical="center"/>
    </xf>
    <xf numFmtId="1" fontId="15" fillId="30" borderId="7" xfId="0" applyNumberFormat="1" applyFont="1" applyFill="1" applyBorder="1" applyAlignment="1">
      <alignment horizontal="center" vertical="center"/>
    </xf>
    <xf numFmtId="0" fontId="2" fillId="25" borderId="7" xfId="0" applyFont="1" applyFill="1" applyBorder="1" applyAlignment="1">
      <alignment horizontal="center" vertical="center"/>
    </xf>
    <xf numFmtId="0" fontId="2" fillId="25" borderId="14" xfId="0" applyFont="1" applyFill="1" applyBorder="1" applyAlignment="1">
      <alignment horizontal="center" vertical="center"/>
    </xf>
    <xf numFmtId="1" fontId="2" fillId="25" borderId="14" xfId="0" applyNumberFormat="1" applyFont="1" applyFill="1" applyBorder="1" applyAlignment="1">
      <alignment horizontal="center" vertical="center"/>
    </xf>
    <xf numFmtId="0" fontId="2" fillId="25" borderId="10" xfId="0" applyFont="1" applyFill="1" applyBorder="1" applyAlignment="1">
      <alignment horizontal="center" vertical="center"/>
    </xf>
    <xf numFmtId="0" fontId="15" fillId="11" borderId="0" xfId="0" applyFont="1" applyFill="1" applyBorder="1" applyAlignment="1">
      <alignment horizontal="center" vertical="center"/>
    </xf>
    <xf numFmtId="0" fontId="15" fillId="31" borderId="9" xfId="0" applyFont="1" applyFill="1" applyBorder="1" applyAlignment="1">
      <alignment horizontal="center" vertical="center"/>
    </xf>
    <xf numFmtId="0" fontId="11" fillId="31" borderId="9" xfId="0" applyFont="1" applyFill="1" applyBorder="1" applyAlignment="1">
      <alignment horizontal="center" vertical="center"/>
    </xf>
    <xf numFmtId="0" fontId="15" fillId="32" borderId="11" xfId="0" applyFont="1" applyFill="1" applyBorder="1" applyAlignment="1">
      <alignment horizontal="center" vertical="center"/>
    </xf>
    <xf numFmtId="0" fontId="10" fillId="23" borderId="14" xfId="0" applyFont="1" applyFill="1" applyBorder="1" applyAlignment="1">
      <alignment horizontal="center" vertical="center"/>
    </xf>
    <xf numFmtId="0" fontId="2" fillId="23" borderId="0" xfId="0" applyFont="1" applyFill="1" applyBorder="1" applyAlignment="1">
      <alignment horizontal="center" vertical="center"/>
    </xf>
    <xf numFmtId="0" fontId="2" fillId="23" borderId="18" xfId="0" applyFont="1" applyFill="1" applyBorder="1" applyAlignment="1">
      <alignment horizontal="center" vertical="center"/>
    </xf>
    <xf numFmtId="0" fontId="10" fillId="24" borderId="14" xfId="0" applyFont="1" applyFill="1" applyBorder="1" applyAlignment="1">
      <alignment horizontal="center" vertical="center"/>
    </xf>
    <xf numFmtId="1" fontId="2" fillId="24" borderId="0" xfId="0" applyNumberFormat="1" applyFont="1" applyFill="1" applyBorder="1" applyAlignment="1">
      <alignment horizontal="center" vertical="center"/>
    </xf>
    <xf numFmtId="1" fontId="2" fillId="24" borderId="18" xfId="0" applyNumberFormat="1" applyFont="1" applyFill="1" applyBorder="1" applyAlignment="1">
      <alignment horizontal="center" vertical="center"/>
    </xf>
    <xf numFmtId="0" fontId="12" fillId="20" borderId="0" xfId="1" applyFont="1" applyFill="1" applyBorder="1" applyAlignment="1">
      <alignment horizontal="center" vertical="center"/>
    </xf>
    <xf numFmtId="0" fontId="12" fillId="20" borderId="34" xfId="1" applyFont="1" applyFill="1" applyBorder="1" applyAlignment="1">
      <alignment horizontal="center" vertical="center"/>
    </xf>
    <xf numFmtId="0" fontId="6" fillId="33" borderId="40" xfId="0" applyFont="1" applyFill="1" applyBorder="1" applyAlignment="1">
      <alignment horizontal="center" vertical="center"/>
    </xf>
    <xf numFmtId="0" fontId="1" fillId="33" borderId="15" xfId="0" applyFont="1" applyFill="1" applyBorder="1" applyAlignment="1">
      <alignment horizontal="center" vertical="center"/>
    </xf>
    <xf numFmtId="0" fontId="1" fillId="33" borderId="5" xfId="0" applyFont="1" applyFill="1" applyBorder="1" applyAlignment="1">
      <alignment horizontal="center" vertical="center"/>
    </xf>
    <xf numFmtId="0" fontId="1" fillId="33" borderId="8" xfId="0" applyFont="1" applyFill="1" applyBorder="1" applyAlignment="1">
      <alignment horizontal="center" vertical="center"/>
    </xf>
    <xf numFmtId="0" fontId="1" fillId="34" borderId="36" xfId="0" applyFont="1" applyFill="1" applyBorder="1" applyAlignment="1">
      <alignment horizontal="left" vertical="center"/>
    </xf>
    <xf numFmtId="0" fontId="1" fillId="35" borderId="36" xfId="0" applyFont="1" applyFill="1" applyBorder="1" applyAlignment="1">
      <alignment horizontal="left" vertical="center"/>
    </xf>
    <xf numFmtId="0" fontId="1" fillId="35" borderId="41" xfId="0" applyFont="1" applyFill="1" applyBorder="1" applyAlignment="1">
      <alignment horizontal="left" vertical="center"/>
    </xf>
    <xf numFmtId="0" fontId="6" fillId="3" borderId="49" xfId="0" applyFont="1" applyFill="1" applyBorder="1" applyAlignment="1">
      <alignment horizontal="center" vertical="center"/>
    </xf>
    <xf numFmtId="0" fontId="1" fillId="13" borderId="35" xfId="0" applyFont="1" applyFill="1" applyBorder="1" applyAlignment="1">
      <alignment horizontal="left" vertical="center"/>
    </xf>
    <xf numFmtId="0" fontId="12" fillId="20" borderId="38" xfId="1" applyFont="1" applyFill="1" applyBorder="1" applyAlignment="1">
      <alignment horizontal="center" vertical="center"/>
    </xf>
    <xf numFmtId="0" fontId="1" fillId="0" borderId="0" xfId="0" applyFont="1" applyFill="1" applyBorder="1" applyAlignment="1"/>
    <xf numFmtId="0" fontId="1" fillId="0" borderId="32" xfId="0" applyFont="1" applyFill="1" applyBorder="1" applyAlignment="1"/>
    <xf numFmtId="0" fontId="14" fillId="21" borderId="50" xfId="0" applyFont="1" applyFill="1" applyBorder="1" applyAlignment="1">
      <alignment horizontal="center" vertical="center"/>
    </xf>
    <xf numFmtId="0" fontId="16" fillId="5" borderId="39" xfId="0" applyFont="1" applyFill="1" applyBorder="1" applyAlignment="1">
      <alignment horizontal="center" vertical="center"/>
    </xf>
    <xf numFmtId="0" fontId="16" fillId="21" borderId="39" xfId="0" applyFont="1" applyFill="1" applyBorder="1" applyAlignment="1">
      <alignment horizontal="center" vertical="center"/>
    </xf>
    <xf numFmtId="0" fontId="16" fillId="22" borderId="42" xfId="0" applyFont="1" applyFill="1" applyBorder="1" applyAlignment="1">
      <alignment horizontal="center" vertical="center"/>
    </xf>
    <xf numFmtId="0" fontId="12" fillId="36" borderId="37" xfId="1" applyFont="1" applyFill="1" applyBorder="1" applyAlignment="1">
      <alignment horizontal="center" vertical="center"/>
    </xf>
    <xf numFmtId="0" fontId="2" fillId="37" borderId="16" xfId="1" applyFont="1" applyFill="1" applyBorder="1" applyAlignment="1">
      <alignment horizontal="center" vertical="center"/>
    </xf>
    <xf numFmtId="0" fontId="2" fillId="28" borderId="25" xfId="1" applyFont="1" applyFill="1" applyBorder="1" applyAlignment="1">
      <alignment horizontal="center" vertical="center"/>
    </xf>
    <xf numFmtId="0" fontId="2" fillId="28" borderId="16" xfId="1" applyFont="1" applyFill="1" applyBorder="1" applyAlignment="1">
      <alignment horizontal="center" vertical="center"/>
    </xf>
    <xf numFmtId="0" fontId="6" fillId="38" borderId="15" xfId="0" applyFont="1" applyFill="1" applyBorder="1" applyAlignment="1">
      <alignment horizontal="center"/>
    </xf>
    <xf numFmtId="0" fontId="6" fillId="38" borderId="15" xfId="0" applyFont="1" applyFill="1" applyBorder="1" applyAlignment="1">
      <alignment horizontal="center" vertical="center"/>
    </xf>
    <xf numFmtId="0" fontId="1" fillId="38" borderId="15" xfId="0" applyFont="1" applyFill="1" applyBorder="1" applyAlignment="1">
      <alignment horizontal="center" vertical="center"/>
    </xf>
    <xf numFmtId="0" fontId="1" fillId="38" borderId="9" xfId="0" applyFont="1" applyFill="1" applyBorder="1" applyAlignment="1">
      <alignment horizontal="center"/>
    </xf>
    <xf numFmtId="0" fontId="1" fillId="38" borderId="14" xfId="0" applyFont="1" applyFill="1" applyBorder="1" applyAlignment="1">
      <alignment horizontal="center"/>
    </xf>
    <xf numFmtId="0" fontId="1" fillId="38" borderId="10" xfId="0" applyFont="1" applyFill="1" applyBorder="1" applyAlignment="1">
      <alignment horizontal="center"/>
    </xf>
    <xf numFmtId="0" fontId="6" fillId="38" borderId="4" xfId="0" applyFont="1" applyFill="1" applyBorder="1" applyAlignment="1">
      <alignment horizontal="center"/>
    </xf>
    <xf numFmtId="0" fontId="2" fillId="37" borderId="17" xfId="1" applyFont="1" applyFill="1" applyBorder="1" applyAlignment="1">
      <alignment horizontal="center" vertical="center"/>
    </xf>
    <xf numFmtId="0" fontId="1" fillId="0" borderId="0" xfId="0" applyFont="1" applyFill="1" applyAlignment="1">
      <alignment horizontal="center" vertical="center" wrapText="1"/>
    </xf>
    <xf numFmtId="0" fontId="1" fillId="0" borderId="0" xfId="0" applyFont="1" applyFill="1" applyAlignment="1">
      <alignment vertical="center" wrapText="1"/>
    </xf>
    <xf numFmtId="0" fontId="1" fillId="0" borderId="0" xfId="0" applyFont="1" applyFill="1" applyAlignment="1">
      <alignment horizontal="left" vertical="center" wrapText="1"/>
    </xf>
    <xf numFmtId="0" fontId="2" fillId="0" borderId="0" xfId="0" applyFont="1" applyFill="1" applyAlignment="1"/>
    <xf numFmtId="0" fontId="2" fillId="0" borderId="61" xfId="0" applyFont="1" applyBorder="1" applyAlignment="1">
      <alignment horizontal="center" vertical="center"/>
    </xf>
    <xf numFmtId="9" fontId="2" fillId="0" borderId="61" xfId="0" quotePrefix="1" applyNumberFormat="1" applyFont="1" applyBorder="1" applyAlignment="1">
      <alignment horizontal="center" vertical="center"/>
    </xf>
    <xf numFmtId="0" fontId="2" fillId="16" borderId="0" xfId="0" applyFont="1" applyFill="1" applyBorder="1" applyAlignment="1">
      <alignment vertical="center"/>
    </xf>
    <xf numFmtId="0" fontId="2" fillId="0" borderId="0" xfId="0" applyFont="1" applyFill="1" applyAlignment="1">
      <alignment vertical="center"/>
    </xf>
    <xf numFmtId="0" fontId="1" fillId="0" borderId="0" xfId="0" applyFont="1" applyFill="1" applyAlignment="1"/>
    <xf numFmtId="0" fontId="1" fillId="0" borderId="6" xfId="0" applyFont="1" applyFill="1" applyBorder="1" applyAlignment="1"/>
    <xf numFmtId="0" fontId="1" fillId="0" borderId="19" xfId="0" applyFont="1" applyFill="1" applyBorder="1" applyAlignment="1"/>
    <xf numFmtId="0" fontId="1" fillId="0" borderId="5" xfId="0" applyFont="1" applyFill="1" applyBorder="1" applyAlignment="1"/>
    <xf numFmtId="0" fontId="2" fillId="0" borderId="19" xfId="0" applyFont="1" applyFill="1" applyBorder="1" applyAlignment="1"/>
    <xf numFmtId="0" fontId="2" fillId="0" borderId="0" xfId="0" applyFont="1" applyFill="1" applyBorder="1" applyAlignment="1"/>
    <xf numFmtId="0" fontId="1" fillId="0" borderId="0" xfId="0" applyFont="1" applyFill="1" applyBorder="1"/>
    <xf numFmtId="0" fontId="1" fillId="20" borderId="11" xfId="0" applyFont="1" applyFill="1" applyBorder="1" applyAlignment="1">
      <alignment horizontal="center" vertical="center"/>
    </xf>
    <xf numFmtId="0" fontId="1" fillId="20" borderId="0" xfId="0" applyFont="1" applyFill="1" applyAlignment="1">
      <alignment horizontal="center" vertical="center"/>
    </xf>
    <xf numFmtId="0" fontId="1" fillId="20" borderId="0" xfId="0" applyFont="1" applyFill="1" applyBorder="1" applyAlignment="1">
      <alignment horizontal="center" vertical="center"/>
    </xf>
    <xf numFmtId="0" fontId="1" fillId="38" borderId="26" xfId="0" applyFont="1" applyFill="1" applyBorder="1" applyAlignment="1">
      <alignment horizontal="center"/>
    </xf>
    <xf numFmtId="0" fontId="1" fillId="38" borderId="29" xfId="0" applyFont="1" applyFill="1" applyBorder="1" applyAlignment="1">
      <alignment horizontal="center"/>
    </xf>
    <xf numFmtId="0" fontId="1" fillId="38" borderId="30" xfId="0" applyFont="1" applyFill="1" applyBorder="1" applyAlignment="1">
      <alignment horizontal="center"/>
    </xf>
    <xf numFmtId="0" fontId="1" fillId="16" borderId="0" xfId="0" applyFont="1" applyFill="1" applyBorder="1" applyAlignment="1">
      <alignment horizontal="center" vertical="center"/>
    </xf>
    <xf numFmtId="0" fontId="1" fillId="33" borderId="14" xfId="0" applyFont="1" applyFill="1" applyBorder="1" applyAlignment="1">
      <alignment horizontal="center" vertical="center"/>
    </xf>
    <xf numFmtId="0" fontId="1" fillId="33" borderId="10" xfId="0" applyFont="1" applyFill="1" applyBorder="1" applyAlignment="1">
      <alignment horizontal="center" vertical="center"/>
    </xf>
    <xf numFmtId="0" fontId="15" fillId="10" borderId="16" xfId="0" applyFont="1" applyFill="1" applyBorder="1" applyAlignment="1">
      <alignment horizontal="center" vertical="center"/>
    </xf>
    <xf numFmtId="0" fontId="15" fillId="10" borderId="0" xfId="0" applyFont="1" applyFill="1" applyBorder="1" applyAlignment="1">
      <alignment horizontal="center" vertical="center"/>
    </xf>
    <xf numFmtId="0" fontId="16" fillId="21" borderId="0" xfId="0" applyFont="1" applyFill="1" applyBorder="1" applyAlignment="1">
      <alignment horizontal="center" vertical="center"/>
    </xf>
    <xf numFmtId="0" fontId="1" fillId="23" borderId="0" xfId="0" applyFont="1" applyFill="1" applyBorder="1" applyAlignment="1">
      <alignment horizontal="center" vertical="center"/>
    </xf>
    <xf numFmtId="0" fontId="1" fillId="24" borderId="0" xfId="0" applyFont="1" applyFill="1" applyBorder="1" applyAlignment="1">
      <alignment horizontal="center" vertical="center"/>
    </xf>
    <xf numFmtId="0" fontId="1" fillId="12" borderId="0" xfId="0" applyFont="1" applyFill="1" applyBorder="1" applyAlignment="1">
      <alignment horizontal="center" vertical="center"/>
    </xf>
    <xf numFmtId="0" fontId="1" fillId="12" borderId="28" xfId="0" applyFont="1" applyFill="1" applyBorder="1" applyAlignment="1">
      <alignment horizontal="center" vertical="center"/>
    </xf>
    <xf numFmtId="0" fontId="15" fillId="4" borderId="64" xfId="0" applyFont="1" applyFill="1" applyBorder="1" applyAlignment="1">
      <alignment horizontal="center" vertical="center"/>
    </xf>
    <xf numFmtId="0" fontId="1" fillId="25" borderId="65" xfId="0" applyFont="1" applyFill="1" applyBorder="1" applyAlignment="1">
      <alignment horizontal="center" vertical="center"/>
    </xf>
    <xf numFmtId="0" fontId="15" fillId="4" borderId="16" xfId="0" applyFont="1" applyFill="1" applyBorder="1" applyAlignment="1">
      <alignment horizontal="center" vertical="center"/>
    </xf>
    <xf numFmtId="0" fontId="15" fillId="4" borderId="0" xfId="0" applyFont="1" applyFill="1" applyBorder="1" applyAlignment="1">
      <alignment horizontal="center" vertical="center"/>
    </xf>
    <xf numFmtId="0" fontId="16" fillId="5" borderId="0" xfId="0" applyFont="1" applyFill="1" applyBorder="1" applyAlignment="1">
      <alignment horizontal="center" vertical="center"/>
    </xf>
    <xf numFmtId="0" fontId="1" fillId="6" borderId="0" xfId="0" applyFont="1" applyFill="1" applyBorder="1" applyAlignment="1">
      <alignment horizontal="center" vertical="center"/>
    </xf>
    <xf numFmtId="0" fontId="15" fillId="7" borderId="0" xfId="0" applyFont="1" applyFill="1" applyBorder="1" applyAlignment="1">
      <alignment horizontal="center" vertical="center"/>
    </xf>
    <xf numFmtId="0" fontId="1" fillId="8" borderId="0" xfId="0" applyFont="1" applyFill="1" applyBorder="1" applyAlignment="1">
      <alignment horizontal="center" vertical="center"/>
    </xf>
    <xf numFmtId="0" fontId="1" fillId="25" borderId="0" xfId="0" applyFont="1" applyFill="1" applyBorder="1" applyAlignment="1">
      <alignment horizontal="center" vertical="center"/>
    </xf>
    <xf numFmtId="0" fontId="1" fillId="25" borderId="28" xfId="0" applyFont="1" applyFill="1" applyBorder="1" applyAlignment="1">
      <alignment horizontal="center" vertical="center"/>
    </xf>
    <xf numFmtId="0" fontId="15" fillId="10" borderId="26" xfId="0" applyFont="1" applyFill="1" applyBorder="1" applyAlignment="1">
      <alignment horizontal="center" vertical="center"/>
    </xf>
    <xf numFmtId="0" fontId="15" fillId="10" borderId="29" xfId="0" applyFont="1" applyFill="1" applyBorder="1" applyAlignment="1">
      <alignment horizontal="center" vertical="center"/>
    </xf>
    <xf numFmtId="0" fontId="15" fillId="10" borderId="66" xfId="0" applyFont="1" applyFill="1" applyBorder="1" applyAlignment="1">
      <alignment horizontal="center" vertical="center"/>
    </xf>
    <xf numFmtId="0" fontId="16" fillId="21" borderId="29" xfId="0" applyFont="1" applyFill="1" applyBorder="1" applyAlignment="1">
      <alignment horizontal="center" vertical="center"/>
    </xf>
    <xf numFmtId="0" fontId="1" fillId="23" borderId="67" xfId="0" applyFont="1" applyFill="1" applyBorder="1" applyAlignment="1">
      <alignment horizontal="center" vertical="center"/>
    </xf>
    <xf numFmtId="0" fontId="1" fillId="23" borderId="29" xfId="0" applyFont="1" applyFill="1" applyBorder="1" applyAlignment="1">
      <alignment horizontal="center" vertical="center"/>
    </xf>
    <xf numFmtId="0" fontId="15" fillId="11" borderId="67" xfId="0" applyFont="1" applyFill="1" applyBorder="1" applyAlignment="1">
      <alignment horizontal="center" vertical="center"/>
    </xf>
    <xf numFmtId="0" fontId="15" fillId="11" borderId="29" xfId="0" applyFont="1" applyFill="1" applyBorder="1" applyAlignment="1">
      <alignment horizontal="center" vertical="center"/>
    </xf>
    <xf numFmtId="0" fontId="15" fillId="11" borderId="66" xfId="0" applyFont="1" applyFill="1" applyBorder="1" applyAlignment="1">
      <alignment horizontal="center" vertical="center"/>
    </xf>
    <xf numFmtId="0" fontId="1" fillId="24" borderId="29" xfId="0" applyFont="1" applyFill="1" applyBorder="1" applyAlignment="1">
      <alignment horizontal="center" vertical="center"/>
    </xf>
    <xf numFmtId="0" fontId="1" fillId="12" borderId="67" xfId="0" applyFont="1" applyFill="1" applyBorder="1" applyAlignment="1">
      <alignment horizontal="center" vertical="center"/>
    </xf>
    <xf numFmtId="0" fontId="1" fillId="12" borderId="29" xfId="0" applyFont="1" applyFill="1" applyBorder="1" applyAlignment="1">
      <alignment horizontal="center" vertical="center"/>
    </xf>
    <xf numFmtId="0" fontId="1" fillId="12" borderId="30" xfId="0" applyFont="1" applyFill="1" applyBorder="1" applyAlignment="1">
      <alignment horizontal="center" vertical="center"/>
    </xf>
    <xf numFmtId="0" fontId="7" fillId="0" borderId="19" xfId="0" applyFont="1" applyFill="1" applyBorder="1" applyAlignment="1" applyProtection="1">
      <alignment horizontal="center"/>
      <protection locked="0"/>
    </xf>
    <xf numFmtId="0" fontId="8" fillId="0" borderId="19" xfId="0" applyFont="1" applyFill="1" applyBorder="1" applyAlignment="1" applyProtection="1">
      <alignment horizontal="center"/>
      <protection locked="0"/>
    </xf>
    <xf numFmtId="0" fontId="8" fillId="0" borderId="27" xfId="0" applyFont="1" applyFill="1" applyBorder="1" applyAlignment="1" applyProtection="1">
      <alignment horizontal="center"/>
      <protection locked="0"/>
    </xf>
    <xf numFmtId="0" fontId="7" fillId="15" borderId="0" xfId="0" applyFont="1" applyFill="1" applyBorder="1" applyAlignment="1" applyProtection="1">
      <alignment horizontal="center"/>
      <protection locked="0"/>
    </xf>
    <xf numFmtId="0" fontId="8" fillId="15" borderId="0" xfId="0" applyFont="1" applyFill="1" applyBorder="1" applyAlignment="1" applyProtection="1">
      <alignment horizontal="center"/>
      <protection locked="0"/>
    </xf>
    <xf numFmtId="0" fontId="8" fillId="15" borderId="28" xfId="0"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8" fillId="0" borderId="28" xfId="0" applyFont="1" applyFill="1" applyBorder="1" applyAlignment="1" applyProtection="1">
      <alignment horizontal="center"/>
      <protection locked="0"/>
    </xf>
    <xf numFmtId="0" fontId="7" fillId="15" borderId="29" xfId="0" applyFont="1" applyFill="1" applyBorder="1" applyAlignment="1" applyProtection="1">
      <alignment horizontal="center"/>
      <protection locked="0"/>
    </xf>
    <xf numFmtId="0" fontId="8" fillId="15" borderId="29" xfId="0" applyFont="1" applyFill="1" applyBorder="1" applyAlignment="1" applyProtection="1">
      <alignment horizontal="center"/>
      <protection locked="0"/>
    </xf>
    <xf numFmtId="0" fontId="8" fillId="15" borderId="30" xfId="0" applyFont="1" applyFill="1" applyBorder="1" applyAlignment="1" applyProtection="1">
      <alignment horizontal="center"/>
      <protection locked="0"/>
    </xf>
    <xf numFmtId="0" fontId="1" fillId="6" borderId="0" xfId="0" quotePrefix="1" applyFont="1" applyFill="1" applyBorder="1" applyAlignment="1">
      <alignment horizontal="center" vertical="center"/>
    </xf>
    <xf numFmtId="0" fontId="15" fillId="10" borderId="16" xfId="0" quotePrefix="1" applyFont="1" applyFill="1" applyBorder="1" applyAlignment="1">
      <alignment horizontal="center" vertical="center"/>
    </xf>
    <xf numFmtId="0" fontId="1" fillId="0" borderId="0" xfId="0" quotePrefix="1" applyFont="1" applyAlignment="1">
      <alignment horizontal="center" vertical="center"/>
    </xf>
    <xf numFmtId="0" fontId="1" fillId="25" borderId="0" xfId="0" quotePrefix="1" applyFont="1" applyFill="1" applyBorder="1" applyAlignment="1">
      <alignment horizontal="center" vertical="center"/>
    </xf>
    <xf numFmtId="0" fontId="18" fillId="7" borderId="13" xfId="0" applyFont="1" applyFill="1" applyBorder="1" applyAlignment="1">
      <alignment horizontal="center" vertical="center"/>
    </xf>
    <xf numFmtId="0" fontId="18" fillId="7" borderId="0" xfId="0" applyFont="1" applyFill="1" applyAlignment="1">
      <alignment horizontal="center" vertical="center"/>
    </xf>
    <xf numFmtId="0" fontId="18" fillId="7" borderId="12" xfId="0" applyFont="1" applyFill="1" applyBorder="1" applyAlignment="1">
      <alignment horizontal="center" vertical="center"/>
    </xf>
    <xf numFmtId="1" fontId="2" fillId="25" borderId="11" xfId="0" applyNumberFormat="1" applyFont="1" applyFill="1" applyBorder="1" applyAlignment="1">
      <alignment horizontal="center" vertical="center"/>
    </xf>
    <xf numFmtId="1" fontId="2" fillId="12" borderId="11" xfId="0" applyNumberFormat="1" applyFont="1" applyFill="1" applyBorder="1" applyAlignment="1">
      <alignment horizontal="center" vertical="center"/>
    </xf>
    <xf numFmtId="1" fontId="2" fillId="12" borderId="21" xfId="0" applyNumberFormat="1" applyFont="1" applyFill="1" applyBorder="1" applyAlignment="1">
      <alignment horizontal="center" vertical="center"/>
    </xf>
    <xf numFmtId="0" fontId="1" fillId="33" borderId="0" xfId="0" applyFont="1" applyFill="1" applyBorder="1" applyAlignment="1">
      <alignment horizontal="center" vertical="center"/>
    </xf>
    <xf numFmtId="0" fontId="10" fillId="12" borderId="9" xfId="0" applyFont="1" applyFill="1" applyBorder="1" applyAlignment="1">
      <alignment horizontal="center" vertical="center"/>
    </xf>
    <xf numFmtId="0" fontId="1" fillId="0" borderId="0" xfId="0" applyFont="1" applyAlignment="1">
      <alignment vertical="center" wrapText="1"/>
    </xf>
    <xf numFmtId="0" fontId="1" fillId="0" borderId="12" xfId="0" applyFont="1" applyBorder="1" applyAlignment="1">
      <alignment vertical="center" wrapText="1"/>
    </xf>
    <xf numFmtId="0" fontId="1" fillId="0" borderId="58" xfId="0" applyFont="1" applyFill="1" applyBorder="1" applyAlignment="1">
      <alignment horizontal="center" vertical="center" wrapText="1"/>
    </xf>
    <xf numFmtId="0" fontId="1" fillId="0" borderId="32" xfId="0" applyFont="1" applyFill="1" applyBorder="1" applyAlignment="1">
      <alignment horizontal="center" vertical="center"/>
    </xf>
    <xf numFmtId="0" fontId="1" fillId="0" borderId="33" xfId="0" applyFont="1" applyFill="1" applyBorder="1" applyAlignment="1">
      <alignment horizontal="center" vertical="center"/>
    </xf>
    <xf numFmtId="0" fontId="1" fillId="0" borderId="11" xfId="0" applyFont="1" applyFill="1" applyBorder="1" applyAlignment="1">
      <alignment horizontal="center" vertical="center" wrapText="1"/>
    </xf>
    <xf numFmtId="0" fontId="1" fillId="0" borderId="0" xfId="0" applyFont="1" applyFill="1" applyBorder="1" applyAlignment="1">
      <alignment horizontal="center" vertical="center"/>
    </xf>
    <xf numFmtId="0" fontId="1" fillId="0" borderId="31" xfId="0" applyFont="1" applyFill="1" applyBorder="1" applyAlignment="1">
      <alignment horizontal="center" vertical="center"/>
    </xf>
    <xf numFmtId="0" fontId="2" fillId="0" borderId="0" xfId="0" applyFont="1" applyFill="1" applyBorder="1" applyAlignment="1">
      <alignment vertical="center"/>
    </xf>
    <xf numFmtId="0" fontId="1" fillId="0" borderId="31" xfId="0" applyFont="1" applyFill="1" applyBorder="1" applyAlignment="1">
      <alignment vertical="center"/>
    </xf>
    <xf numFmtId="0" fontId="3" fillId="0" borderId="21" xfId="0" applyFont="1" applyFill="1" applyBorder="1" applyAlignment="1">
      <alignment horizontal="center" vertical="center" wrapText="1"/>
    </xf>
    <xf numFmtId="0" fontId="1" fillId="0" borderId="22" xfId="0" applyFont="1" applyFill="1" applyBorder="1"/>
    <xf numFmtId="0" fontId="5" fillId="0" borderId="55" xfId="0" applyFont="1" applyFill="1" applyBorder="1" applyAlignment="1">
      <alignment horizontal="center" vertical="center" wrapText="1"/>
    </xf>
    <xf numFmtId="0" fontId="5" fillId="0" borderId="55" xfId="0" applyFont="1" applyFill="1" applyBorder="1" applyAlignment="1">
      <alignment horizontal="center"/>
    </xf>
    <xf numFmtId="0" fontId="5" fillId="0" borderId="40" xfId="0" applyFont="1" applyFill="1" applyBorder="1" applyAlignment="1">
      <alignment horizontal="center"/>
    </xf>
    <xf numFmtId="0" fontId="5" fillId="0" borderId="54" xfId="0" applyFont="1" applyFill="1" applyBorder="1" applyAlignment="1">
      <alignment horizontal="center"/>
    </xf>
    <xf numFmtId="0" fontId="2" fillId="0" borderId="11" xfId="0" applyFont="1" applyFill="1" applyBorder="1" applyAlignment="1">
      <alignment horizontal="left" vertical="center" wrapText="1"/>
    </xf>
    <xf numFmtId="0" fontId="2" fillId="0" borderId="0" xfId="0" applyFont="1" applyFill="1" applyBorder="1" applyAlignment="1">
      <alignment horizontal="left" vertical="center" wrapText="1"/>
    </xf>
    <xf numFmtId="0" fontId="2" fillId="0" borderId="31" xfId="0" applyFont="1" applyFill="1" applyBorder="1" applyAlignment="1">
      <alignment horizontal="left" vertical="center" wrapText="1"/>
    </xf>
    <xf numFmtId="0" fontId="5" fillId="0" borderId="56" xfId="0" applyFont="1" applyFill="1" applyBorder="1" applyAlignment="1">
      <alignment horizontal="center" vertical="center" wrapText="1"/>
    </xf>
    <xf numFmtId="0" fontId="5" fillId="0" borderId="54" xfId="0" applyFont="1" applyFill="1" applyBorder="1" applyAlignment="1">
      <alignment horizontal="center" vertical="center" wrapText="1"/>
    </xf>
    <xf numFmtId="0" fontId="1" fillId="0" borderId="16" xfId="0" applyFont="1" applyFill="1" applyBorder="1" applyAlignment="1">
      <alignment horizontal="left" vertical="center" wrapText="1"/>
    </xf>
    <xf numFmtId="0" fontId="1" fillId="0" borderId="0" xfId="0" applyFont="1" applyFill="1" applyBorder="1" applyAlignment="1">
      <alignment horizontal="left" vertical="center" wrapText="1"/>
    </xf>
    <xf numFmtId="0" fontId="1" fillId="0" borderId="31" xfId="0" applyFont="1" applyFill="1" applyBorder="1" applyAlignment="1">
      <alignment horizontal="left" vertical="center" wrapText="1"/>
    </xf>
    <xf numFmtId="0" fontId="1" fillId="0" borderId="17" xfId="0" applyFont="1" applyFill="1" applyBorder="1" applyAlignment="1">
      <alignment horizontal="left" vertical="center" wrapText="1"/>
    </xf>
    <xf numFmtId="0" fontId="1" fillId="0" borderId="18" xfId="0" applyFont="1" applyFill="1" applyBorder="1" applyAlignment="1">
      <alignment horizontal="left" vertical="center" wrapText="1"/>
    </xf>
    <xf numFmtId="0" fontId="1" fillId="0" borderId="43" xfId="0" applyFont="1" applyFill="1" applyBorder="1" applyAlignment="1">
      <alignment horizontal="left" vertical="center" wrapText="1"/>
    </xf>
    <xf numFmtId="0" fontId="5" fillId="0" borderId="36" xfId="0" applyFont="1" applyFill="1" applyBorder="1" applyAlignment="1">
      <alignment horizontal="center" vertical="center" wrapText="1"/>
    </xf>
    <xf numFmtId="0" fontId="5" fillId="0" borderId="41" xfId="0" applyFont="1" applyFill="1" applyBorder="1" applyAlignment="1">
      <alignment horizontal="center" vertical="center" wrapText="1"/>
    </xf>
    <xf numFmtId="0" fontId="1" fillId="0" borderId="23" xfId="0" applyFont="1" applyFill="1" applyBorder="1" applyAlignment="1">
      <alignment horizontal="left" vertical="center" wrapText="1"/>
    </xf>
    <xf numFmtId="0" fontId="2" fillId="0" borderId="24" xfId="0" applyFont="1" applyFill="1" applyBorder="1" applyAlignment="1">
      <alignment horizontal="left" vertical="center"/>
    </xf>
    <xf numFmtId="0" fontId="1" fillId="0" borderId="57" xfId="0" applyFont="1" applyFill="1" applyBorder="1" applyAlignment="1">
      <alignment horizontal="left" vertical="center"/>
    </xf>
    <xf numFmtId="0" fontId="1" fillId="0" borderId="11" xfId="0" applyFont="1" applyFill="1" applyBorder="1" applyAlignment="1">
      <alignment horizontal="left" vertical="center"/>
    </xf>
    <xf numFmtId="0" fontId="2" fillId="0" borderId="0" xfId="0" applyFont="1" applyFill="1" applyBorder="1" applyAlignment="1">
      <alignment horizontal="left" vertical="center"/>
    </xf>
    <xf numFmtId="0" fontId="1" fillId="0" borderId="31" xfId="0" applyFont="1" applyFill="1" applyBorder="1" applyAlignment="1">
      <alignment horizontal="left" vertical="center"/>
    </xf>
    <xf numFmtId="0" fontId="1" fillId="0" borderId="21" xfId="0" applyFont="1" applyFill="1" applyBorder="1" applyAlignment="1">
      <alignment horizontal="left" vertical="center"/>
    </xf>
    <xf numFmtId="0" fontId="1" fillId="0" borderId="18" xfId="0" applyFont="1" applyFill="1" applyBorder="1" applyAlignment="1">
      <alignment horizontal="left" vertical="center"/>
    </xf>
    <xf numFmtId="0" fontId="1" fillId="0" borderId="43" xfId="0" applyFont="1" applyFill="1" applyBorder="1" applyAlignment="1">
      <alignment horizontal="left" vertical="center"/>
    </xf>
    <xf numFmtId="0" fontId="1" fillId="0" borderId="52" xfId="0" applyFont="1" applyFill="1" applyBorder="1" applyAlignment="1">
      <alignment horizontal="center" vertical="center" wrapText="1"/>
    </xf>
    <xf numFmtId="0" fontId="1" fillId="0" borderId="53" xfId="0" applyFont="1" applyFill="1" applyBorder="1"/>
    <xf numFmtId="0" fontId="1" fillId="0" borderId="45" xfId="0" applyFont="1" applyFill="1" applyBorder="1"/>
    <xf numFmtId="0" fontId="5" fillId="0" borderId="51" xfId="0" applyFont="1" applyFill="1" applyBorder="1" applyAlignment="1">
      <alignment horizontal="center" vertical="center" wrapText="1"/>
    </xf>
    <xf numFmtId="0" fontId="1" fillId="0" borderId="43" xfId="0" applyFont="1" applyFill="1" applyBorder="1"/>
    <xf numFmtId="0" fontId="1" fillId="0" borderId="11" xfId="0" applyFont="1" applyFill="1" applyBorder="1" applyAlignment="1">
      <alignment horizontal="left" vertical="center" wrapText="1"/>
    </xf>
    <xf numFmtId="0" fontId="1" fillId="0" borderId="0" xfId="0" applyFont="1" applyFill="1" applyBorder="1" applyAlignment="1">
      <alignment horizontal="left" vertical="center"/>
    </xf>
    <xf numFmtId="0" fontId="2" fillId="0" borderId="59" xfId="0" applyFont="1" applyBorder="1" applyAlignment="1">
      <alignment horizontal="center" vertical="center" wrapText="1"/>
    </xf>
    <xf numFmtId="0" fontId="2" fillId="0" borderId="60" xfId="0" applyFont="1" applyBorder="1" applyAlignment="1">
      <alignment horizontal="center" vertical="center" wrapText="1"/>
    </xf>
    <xf numFmtId="0" fontId="1" fillId="0" borderId="14" xfId="0" applyFont="1" applyBorder="1" applyAlignment="1">
      <alignment horizontal="center"/>
    </xf>
    <xf numFmtId="0" fontId="1" fillId="0" borderId="10" xfId="0" applyFont="1" applyBorder="1"/>
    <xf numFmtId="0" fontId="1" fillId="0" borderId="9" xfId="0" applyFont="1" applyBorder="1" applyAlignment="1">
      <alignment horizontal="center"/>
    </xf>
    <xf numFmtId="0" fontId="1" fillId="0" borderId="14" xfId="0" applyFont="1" applyBorder="1"/>
    <xf numFmtId="0" fontId="1" fillId="0" borderId="0" xfId="0" applyFont="1" applyAlignment="1">
      <alignment horizontal="center"/>
    </xf>
    <xf numFmtId="0" fontId="2" fillId="0" borderId="0" xfId="0" applyFont="1" applyAlignment="1"/>
    <xf numFmtId="0" fontId="6" fillId="0" borderId="2" xfId="0" applyFont="1" applyBorder="1" applyAlignment="1">
      <alignment horizontal="center"/>
    </xf>
    <xf numFmtId="0" fontId="1" fillId="0" borderId="6" xfId="0" applyFont="1" applyBorder="1"/>
    <xf numFmtId="0" fontId="1" fillId="0" borderId="3" xfId="0" applyFont="1" applyBorder="1"/>
    <xf numFmtId="0" fontId="6" fillId="9" borderId="4" xfId="0" applyFont="1" applyFill="1" applyBorder="1" applyAlignment="1">
      <alignment horizontal="center"/>
    </xf>
    <xf numFmtId="0" fontId="1" fillId="0" borderId="5" xfId="0" applyFont="1" applyBorder="1"/>
    <xf numFmtId="0" fontId="1" fillId="0" borderId="8" xfId="0" applyFont="1" applyBorder="1"/>
    <xf numFmtId="0" fontId="6" fillId="0" borderId="1" xfId="0" applyFont="1" applyBorder="1" applyAlignment="1">
      <alignment horizontal="center" vertical="center"/>
    </xf>
    <xf numFmtId="0" fontId="1" fillId="0" borderId="7" xfId="0" applyFont="1" applyBorder="1"/>
    <xf numFmtId="0" fontId="1" fillId="0" borderId="4" xfId="0" applyFont="1" applyFill="1" applyBorder="1" applyAlignment="1">
      <alignment horizontal="center"/>
    </xf>
    <xf numFmtId="0" fontId="1" fillId="0" borderId="5" xfId="0" applyFont="1" applyFill="1" applyBorder="1"/>
    <xf numFmtId="0" fontId="1" fillId="0" borderId="8" xfId="0" applyFont="1" applyFill="1" applyBorder="1"/>
    <xf numFmtId="0" fontId="6" fillId="0" borderId="4" xfId="0" applyFont="1" applyFill="1" applyBorder="1" applyAlignment="1">
      <alignment horizontal="center"/>
    </xf>
    <xf numFmtId="0" fontId="2" fillId="0" borderId="0" xfId="0" applyFont="1" applyFill="1" applyAlignment="1"/>
    <xf numFmtId="0" fontId="1" fillId="0" borderId="12" xfId="0" applyFont="1" applyFill="1" applyBorder="1"/>
    <xf numFmtId="0" fontId="1" fillId="0" borderId="11" xfId="0" applyFont="1" applyFill="1" applyBorder="1" applyAlignment="1">
      <alignment horizontal="center"/>
    </xf>
    <xf numFmtId="0" fontId="1" fillId="0" borderId="6" xfId="0" applyFont="1" applyFill="1" applyBorder="1" applyAlignment="1">
      <alignment horizontal="center"/>
    </xf>
    <xf numFmtId="0" fontId="1" fillId="0" borderId="6" xfId="0" applyFont="1" applyFill="1" applyBorder="1"/>
    <xf numFmtId="0" fontId="1" fillId="0" borderId="0" xfId="0" applyFont="1" applyBorder="1" applyAlignment="1">
      <alignment horizontal="center"/>
    </xf>
    <xf numFmtId="0" fontId="1" fillId="0" borderId="0" xfId="0" applyFont="1" applyBorder="1"/>
    <xf numFmtId="0" fontId="1" fillId="0" borderId="12" xfId="0" applyFont="1" applyBorder="1"/>
    <xf numFmtId="0" fontId="1" fillId="0" borderId="11" xfId="0" applyFont="1" applyBorder="1" applyAlignment="1">
      <alignment horizontal="center"/>
    </xf>
    <xf numFmtId="0" fontId="1" fillId="8" borderId="5" xfId="0" applyFont="1" applyFill="1" applyBorder="1" applyAlignment="1">
      <alignment horizontal="center" vertical="center"/>
    </xf>
    <xf numFmtId="0" fontId="15" fillId="4" borderId="62" xfId="0" applyFont="1" applyFill="1" applyBorder="1" applyAlignment="1">
      <alignment horizontal="center" vertical="center"/>
    </xf>
    <xf numFmtId="0" fontId="6" fillId="3" borderId="2" xfId="0" applyFont="1" applyFill="1" applyBorder="1" applyAlignment="1">
      <alignment horizontal="center" vertical="center"/>
    </xf>
    <xf numFmtId="0" fontId="1" fillId="0" borderId="11" xfId="0" applyFont="1" applyBorder="1"/>
    <xf numFmtId="0" fontId="16" fillId="5" borderId="4" xfId="0" applyFont="1" applyFill="1" applyBorder="1" applyAlignment="1">
      <alignment horizontal="center" vertical="center"/>
    </xf>
    <xf numFmtId="0" fontId="6" fillId="2" borderId="25" xfId="0" applyFont="1" applyFill="1" applyBorder="1" applyAlignment="1">
      <alignment horizontal="center" vertical="center"/>
    </xf>
    <xf numFmtId="0" fontId="1" fillId="0" borderId="19" xfId="0" applyFont="1" applyBorder="1"/>
    <xf numFmtId="0" fontId="1" fillId="0" borderId="27" xfId="0" applyFont="1" applyBorder="1"/>
    <xf numFmtId="0" fontId="1" fillId="6" borderId="4" xfId="0" applyFont="1" applyFill="1" applyBorder="1" applyAlignment="1">
      <alignment horizontal="center" vertical="center"/>
    </xf>
    <xf numFmtId="0" fontId="1" fillId="38" borderId="25" xfId="0" applyFont="1" applyFill="1" applyBorder="1" applyAlignment="1">
      <alignment horizontal="left" vertical="center" wrapText="1"/>
    </xf>
    <xf numFmtId="0" fontId="1" fillId="38" borderId="19" xfId="0" applyFont="1" applyFill="1" applyBorder="1" applyAlignment="1">
      <alignment horizontal="left" vertical="center" wrapText="1"/>
    </xf>
    <xf numFmtId="0" fontId="1" fillId="38" borderId="27" xfId="0" applyFont="1" applyFill="1" applyBorder="1" applyAlignment="1">
      <alignment horizontal="left" vertical="center" wrapText="1"/>
    </xf>
    <xf numFmtId="0" fontId="1" fillId="38" borderId="16" xfId="0" applyFont="1" applyFill="1" applyBorder="1" applyAlignment="1">
      <alignment horizontal="left" vertical="center" wrapText="1"/>
    </xf>
    <xf numFmtId="0" fontId="1" fillId="38" borderId="0" xfId="0" applyFont="1" applyFill="1" applyBorder="1" applyAlignment="1">
      <alignment horizontal="left" vertical="center" wrapText="1"/>
    </xf>
    <xf numFmtId="0" fontId="1" fillId="38" borderId="28" xfId="0" applyFont="1" applyFill="1" applyBorder="1" applyAlignment="1">
      <alignment horizontal="left" vertical="center" wrapText="1"/>
    </xf>
    <xf numFmtId="0" fontId="1" fillId="38" borderId="26" xfId="0" applyFont="1" applyFill="1" applyBorder="1" applyAlignment="1">
      <alignment horizontal="left" vertical="center" wrapText="1"/>
    </xf>
    <xf numFmtId="0" fontId="1" fillId="38" borderId="29" xfId="0" applyFont="1" applyFill="1" applyBorder="1" applyAlignment="1">
      <alignment horizontal="left" vertical="center" wrapText="1"/>
    </xf>
    <xf numFmtId="0" fontId="1" fillId="38" borderId="30" xfId="0" applyFont="1" applyFill="1" applyBorder="1" applyAlignment="1">
      <alignment horizontal="left" vertical="center" wrapText="1"/>
    </xf>
    <xf numFmtId="0" fontId="6" fillId="2" borderId="2" xfId="0" applyFont="1" applyFill="1" applyBorder="1" applyAlignment="1">
      <alignment horizontal="center" vertical="center"/>
    </xf>
    <xf numFmtId="0" fontId="6" fillId="26" borderId="2" xfId="0" applyFont="1" applyFill="1" applyBorder="1" applyAlignment="1">
      <alignment horizontal="center" vertical="center" wrapText="1"/>
    </xf>
    <xf numFmtId="0" fontId="1" fillId="27" borderId="11" xfId="0" applyFont="1" applyFill="1" applyBorder="1"/>
    <xf numFmtId="0" fontId="1" fillId="27" borderId="9" xfId="0" applyFont="1" applyFill="1" applyBorder="1"/>
    <xf numFmtId="0" fontId="1" fillId="38" borderId="2" xfId="0" applyFont="1" applyFill="1" applyBorder="1" applyAlignment="1">
      <alignment horizontal="left" vertical="center"/>
    </xf>
    <xf numFmtId="0" fontId="1" fillId="28" borderId="6" xfId="0" applyFont="1" applyFill="1" applyBorder="1"/>
    <xf numFmtId="0" fontId="1" fillId="28" borderId="3" xfId="0" applyFont="1" applyFill="1" applyBorder="1"/>
    <xf numFmtId="0" fontId="1" fillId="0" borderId="9" xfId="0" applyFont="1" applyBorder="1"/>
    <xf numFmtId="0" fontId="6" fillId="2" borderId="6" xfId="0" applyFont="1" applyFill="1" applyBorder="1" applyAlignment="1">
      <alignment horizontal="center" vertical="center"/>
    </xf>
    <xf numFmtId="0" fontId="1" fillId="0" borderId="2" xfId="0" applyFont="1" applyBorder="1" applyAlignment="1">
      <alignment horizontal="center" vertical="center"/>
    </xf>
    <xf numFmtId="0" fontId="15" fillId="4" borderId="2" xfId="0" applyFont="1" applyFill="1" applyBorder="1" applyAlignment="1">
      <alignment horizontal="center" vertical="center"/>
    </xf>
    <xf numFmtId="0" fontId="1" fillId="38" borderId="4" xfId="0" applyFont="1" applyFill="1" applyBorder="1" applyAlignment="1">
      <alignment horizontal="left" vertical="center"/>
    </xf>
    <xf numFmtId="0" fontId="1" fillId="28" borderId="5" xfId="0" applyFont="1" applyFill="1" applyBorder="1"/>
    <xf numFmtId="0" fontId="1" fillId="28" borderId="8" xfId="0" applyFont="1" applyFill="1" applyBorder="1"/>
    <xf numFmtId="0" fontId="6" fillId="2" borderId="2" xfId="0" applyFont="1" applyFill="1" applyBorder="1" applyAlignment="1">
      <alignment horizontal="center" vertical="center" wrapText="1"/>
    </xf>
    <xf numFmtId="0" fontId="6" fillId="38" borderId="4" xfId="0" applyFont="1" applyFill="1" applyBorder="1" applyAlignment="1">
      <alignment horizontal="center" vertical="center"/>
    </xf>
    <xf numFmtId="0" fontId="15" fillId="7" borderId="37" xfId="0" applyFont="1" applyFill="1" applyBorder="1" applyAlignment="1">
      <alignment horizontal="center" vertical="center"/>
    </xf>
    <xf numFmtId="0" fontId="1" fillId="0" borderId="46" xfId="0" applyFont="1" applyBorder="1"/>
    <xf numFmtId="0" fontId="1" fillId="0" borderId="47" xfId="0" applyFont="1" applyBorder="1"/>
    <xf numFmtId="0" fontId="1" fillId="25" borderId="4" xfId="0" applyFont="1" applyFill="1" applyBorder="1" applyAlignment="1">
      <alignment horizontal="center" vertical="center"/>
    </xf>
    <xf numFmtId="0" fontId="1" fillId="29" borderId="5" xfId="0" applyFont="1" applyFill="1" applyBorder="1"/>
    <xf numFmtId="0" fontId="1" fillId="29" borderId="63" xfId="0" applyFont="1" applyFill="1" applyBorder="1"/>
    <xf numFmtId="0" fontId="6" fillId="2" borderId="0" xfId="0" applyFont="1" applyFill="1" applyBorder="1" applyAlignment="1">
      <alignment horizontal="center" vertical="center"/>
    </xf>
    <xf numFmtId="0" fontId="1" fillId="16" borderId="48" xfId="1" applyFont="1" applyFill="1" applyBorder="1" applyAlignment="1">
      <alignment horizontal="center" vertical="center"/>
    </xf>
    <xf numFmtId="0" fontId="1" fillId="16" borderId="68" xfId="1" applyFont="1" applyFill="1" applyBorder="1" applyAlignment="1">
      <alignment horizontal="center" vertical="center"/>
    </xf>
    <xf numFmtId="0" fontId="1" fillId="16" borderId="45" xfId="1" applyFont="1" applyFill="1" applyBorder="1" applyAlignment="1">
      <alignment horizontal="center" vertical="center"/>
    </xf>
  </cellXfs>
  <cellStyles count="2">
    <cellStyle name="Normal" xfId="0" builtinId="0"/>
    <cellStyle name="Normal 2" xfId="1" xr:uid="{00000000-0005-0000-0000-000001000000}"/>
  </cellStyles>
  <dxfs count="298">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ont>
        <color rgb="FFF3F3F3"/>
      </font>
      <fill>
        <patternFill patternType="solid">
          <fgColor rgb="FFFF0000"/>
          <bgColor rgb="FFFF0000"/>
        </patternFill>
      </fill>
    </dxf>
    <dxf>
      <fill>
        <patternFill patternType="solid">
          <fgColor theme="1"/>
          <bgColor theme="1" tint="0.24994659260841701"/>
        </patternFill>
      </fill>
    </dxf>
    <dxf>
      <font>
        <color rgb="FFF3F3F3"/>
      </font>
      <fill>
        <patternFill patternType="solid">
          <fgColor rgb="FFFF0000"/>
          <bgColor rgb="FFFF0000"/>
        </patternFill>
      </fill>
    </dxf>
    <dxf>
      <font>
        <color rgb="FF9C0006"/>
      </font>
      <fill>
        <patternFill>
          <bgColor rgb="FFFFC7CE"/>
        </patternFill>
      </fill>
    </dxf>
    <dxf>
      <border outline="0">
        <right style="medium">
          <color indexed="64"/>
        </right>
        <top style="thin">
          <color indexed="64"/>
        </top>
        <bottom style="medium">
          <color indexed="64"/>
        </bottom>
      </border>
    </dxf>
    <dxf>
      <border outline="0">
        <right style="medium">
          <color indexed="64"/>
        </right>
        <top style="thin">
          <color indexed="64"/>
        </top>
        <bottom style="medium">
          <color indexed="64"/>
        </bottom>
      </border>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none"/>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minor"/>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none"/>
      </font>
    </dxf>
    <dxf>
      <border outline="0">
        <right style="thin">
          <color rgb="FF000000"/>
        </right>
        <bottom style="thin">
          <color rgb="FF000000"/>
        </bottom>
      </border>
    </dxf>
    <dxf>
      <font>
        <strike val="0"/>
        <outline val="0"/>
        <shadow val="0"/>
        <u val="none"/>
        <vertAlign val="baseline"/>
        <sz val="12"/>
        <name val="Calibri"/>
        <family val="2"/>
        <scheme val="none"/>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none"/>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minor"/>
      </font>
    </dxf>
    <dxf>
      <border outline="0">
        <bottom style="thin">
          <color indexed="64"/>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auto="1"/>
        <name val="Calibri"/>
        <family val="2"/>
        <scheme val="minor"/>
      </font>
      <alignment horizontal="center" vertical="center" textRotation="0" wrapText="0" indent="0" justifyLastLine="0" shrinkToFit="0" readingOrder="0"/>
    </dxf>
    <dxf>
      <font>
        <strike val="0"/>
        <outline val="0"/>
        <shadow val="0"/>
        <u val="none"/>
        <vertAlign val="baseline"/>
        <sz val="12"/>
        <color auto="1"/>
        <name val="Calibri"/>
        <family val="2"/>
        <scheme val="minor"/>
      </font>
      <alignment horizontal="center" vertical="center" textRotation="0" wrapText="0" indent="0" justifyLastLine="0" shrinkToFit="0" readingOrder="0"/>
      <border diagonalUp="0" diagonalDown="0">
        <left style="thin">
          <color rgb="FF000000"/>
        </left>
        <right/>
        <top/>
        <bottom/>
        <vertical/>
        <horizontal/>
      </border>
    </dxf>
    <dxf>
      <font>
        <strike val="0"/>
        <outline val="0"/>
        <shadow val="0"/>
        <u val="none"/>
        <vertAlign val="baseline"/>
        <sz val="12"/>
        <name val="Calibri"/>
        <family val="2"/>
        <scheme val="minor"/>
      </font>
    </dxf>
    <dxf>
      <border outline="0">
        <right style="thin">
          <color rgb="FF000000"/>
        </right>
        <bottom style="thin">
          <color rgb="FF000000"/>
        </bottom>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right style="thin">
          <color indexed="64"/>
        </right>
        <top/>
        <bottom/>
        <vertical/>
        <horizontal/>
      </border>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protection locked="0" hidden="0"/>
    </dxf>
    <dxf>
      <font>
        <strike val="0"/>
        <outline val="0"/>
        <shadow val="0"/>
        <u val="none"/>
        <vertAlign val="baseline"/>
        <sz val="12"/>
        <color rgb="FFFF0000"/>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2"/>
        <color rgb="FF9900FF"/>
        <name val="Calibri"/>
        <family val="2"/>
        <scheme val="minor"/>
      </font>
      <fill>
        <patternFill patternType="solid">
          <fgColor indexed="64"/>
          <bgColor theme="0" tint="-0.14999847407452621"/>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
      <fill>
        <patternFill patternType="solid">
          <fgColor rgb="FFD9D9D9"/>
          <bgColor rgb="FFD9D9D9"/>
        </patternFill>
      </fill>
    </dxf>
    <dxf>
      <fill>
        <patternFill patternType="solid">
          <fgColor rgb="FFFFFFFF"/>
          <bgColor rgb="FFFFFFFF"/>
        </patternFill>
      </fill>
    </dxf>
    <dxf>
      <fill>
        <patternFill patternType="solid">
          <fgColor rgb="FFD9D9D9"/>
          <bgColor rgb="FFD9D9D9"/>
        </patternFill>
      </fill>
    </dxf>
  </dxfs>
  <tableStyles count="9">
    <tableStyle name="Meds-style" pivot="0" count="3" xr9:uid="{00000000-0011-0000-FFFF-FFFF00000000}">
      <tableStyleElement type="headerRow" dxfId="297"/>
      <tableStyleElement type="firstRowStripe" dxfId="296"/>
      <tableStyleElement type="secondRowStripe" dxfId="295"/>
    </tableStyle>
    <tableStyle name="Meds-style 2" pivot="0" count="3" xr9:uid="{00000000-0011-0000-FFFF-FFFF01000000}">
      <tableStyleElement type="headerRow" dxfId="294"/>
      <tableStyleElement type="firstRowStripe" dxfId="293"/>
      <tableStyleElement type="secondRowStripe" dxfId="292"/>
    </tableStyle>
    <tableStyle name="Meds-style 3" pivot="0" count="3" xr9:uid="{00000000-0011-0000-FFFF-FFFF02000000}">
      <tableStyleElement type="headerRow" dxfId="291"/>
      <tableStyleElement type="firstRowStripe" dxfId="290"/>
      <tableStyleElement type="secondRowStripe" dxfId="289"/>
    </tableStyle>
    <tableStyle name="Meds-style 4" pivot="0" count="3" xr9:uid="{00000000-0011-0000-FFFF-FFFF03000000}">
      <tableStyleElement type="headerRow" dxfId="288"/>
      <tableStyleElement type="firstRowStripe" dxfId="287"/>
      <tableStyleElement type="secondRowStripe" dxfId="286"/>
    </tableStyle>
    <tableStyle name="Meds-style 5" pivot="0" count="3" xr9:uid="{00000000-0011-0000-FFFF-FFFF04000000}">
      <tableStyleElement type="headerRow" dxfId="285"/>
      <tableStyleElement type="firstRowStripe" dxfId="284"/>
      <tableStyleElement type="secondRowStripe" dxfId="283"/>
    </tableStyle>
    <tableStyle name="Meds-style 6" pivot="0" count="3" xr9:uid="{00000000-0011-0000-FFFF-FFFF05000000}">
      <tableStyleElement type="headerRow" dxfId="282"/>
      <tableStyleElement type="firstRowStripe" dxfId="281"/>
      <tableStyleElement type="secondRowStripe" dxfId="280"/>
    </tableStyle>
    <tableStyle name="Glitchless-style" pivot="0" count="3" xr9:uid="{00000000-0011-0000-FFFF-FFFF06000000}">
      <tableStyleElement type="headerRow" dxfId="279"/>
      <tableStyleElement type="firstRowStripe" dxfId="278"/>
      <tableStyleElement type="secondRowStripe" dxfId="277"/>
    </tableStyle>
    <tableStyle name="Glitched-style" pivot="0" count="3" xr9:uid="{00000000-0011-0000-FFFF-FFFF07000000}">
      <tableStyleElement type="headerRow" dxfId="276"/>
      <tableStyleElement type="firstRowStripe" dxfId="275"/>
      <tableStyleElement type="secondRowStripe" dxfId="274"/>
    </tableStyle>
    <tableStyle name="Glitched 100%-style" pivot="0" count="3" xr9:uid="{00000000-0011-0000-FFFF-FFFF08000000}">
      <tableStyleElement type="headerRow" dxfId="273"/>
      <tableStyleElement type="firstRowStripe" dxfId="272"/>
      <tableStyleElement type="secondRowStripe" dxfId="271"/>
    </tableStyle>
  </tableStyles>
  <colors>
    <mruColors>
      <color rgb="FF6D9EEB"/>
      <color rgb="FFD9D2E9"/>
      <color rgb="FFCFE2F3"/>
      <color rgb="FFEA9999"/>
      <color rgb="FFFFC819"/>
      <color rgb="FFFEC200"/>
      <color rgb="FFFFD966"/>
      <color rgb="FFF4CCCC"/>
      <color rgb="FFFD9BFF"/>
      <color rgb="FFB6A8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xdr:col>
      <xdr:colOff>7188</xdr:colOff>
      <xdr:row>10</xdr:row>
      <xdr:rowOff>7189</xdr:rowOff>
    </xdr:from>
    <xdr:to>
      <xdr:col>2</xdr:col>
      <xdr:colOff>549174</xdr:colOff>
      <xdr:row>10</xdr:row>
      <xdr:rowOff>197688</xdr:rowOff>
    </xdr:to>
    <xdr:sp macro="[0]!SharkKillToggle" textlink="">
      <xdr:nvSpPr>
        <xdr:cNvPr id="2" name="Rectangle 1">
          <a:extLst>
            <a:ext uri="{FF2B5EF4-FFF2-40B4-BE49-F238E27FC236}">
              <a16:creationId xmlns:a16="http://schemas.microsoft.com/office/drawing/2014/main" id="{5A9EB7D1-C57C-4375-A5C7-76871DF853A2}"/>
            </a:ext>
          </a:extLst>
        </xdr:cNvPr>
        <xdr:cNvSpPr/>
      </xdr:nvSpPr>
      <xdr:spPr>
        <a:xfrm>
          <a:off x="1739660" y="1951727"/>
          <a:ext cx="541986" cy="19049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5366</xdr:colOff>
      <xdr:row>10</xdr:row>
      <xdr:rowOff>5368</xdr:rowOff>
    </xdr:from>
    <xdr:to>
      <xdr:col>2</xdr:col>
      <xdr:colOff>547352</xdr:colOff>
      <xdr:row>10</xdr:row>
      <xdr:rowOff>195867</xdr:rowOff>
    </xdr:to>
    <xdr:sp macro="[0]!SharkKillToggle" textlink="">
      <xdr:nvSpPr>
        <xdr:cNvPr id="2" name="Rectangle 1">
          <a:extLst>
            <a:ext uri="{FF2B5EF4-FFF2-40B4-BE49-F238E27FC236}">
              <a16:creationId xmlns:a16="http://schemas.microsoft.com/office/drawing/2014/main" id="{4A02550E-407E-42B1-8796-6910CB7A43BA}"/>
            </a:ext>
          </a:extLst>
        </xdr:cNvPr>
        <xdr:cNvSpPr/>
      </xdr:nvSpPr>
      <xdr:spPr>
        <a:xfrm>
          <a:off x="1738916" y="1956088"/>
          <a:ext cx="541986" cy="19049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GlitchlessAnyMeds" displayName="tblGlitchlessAnyMeds" ref="B33:N50" headerRowCount="0" headerRowDxfId="270" dataDxfId="269" totalsRowDxfId="268">
  <tableColumns count="13">
    <tableColumn id="1" xr3:uid="{00000000-0010-0000-0000-000001000000}" name="Column1" dataDxfId="267"/>
    <tableColumn id="2" xr3:uid="{00000000-0010-0000-0000-000002000000}" name="Column2" dataDxfId="266"/>
    <tableColumn id="3" xr3:uid="{00000000-0010-0000-0000-000003000000}" name="Column3" dataDxfId="265"/>
    <tableColumn id="4" xr3:uid="{00000000-0010-0000-0000-000004000000}" name="Column4" dataDxfId="264"/>
    <tableColumn id="5" xr3:uid="{00000000-0010-0000-0000-000005000000}" name="Column5" dataDxfId="263"/>
    <tableColumn id="6" xr3:uid="{00000000-0010-0000-0000-000006000000}" name="Column6" dataDxfId="262"/>
    <tableColumn id="7" xr3:uid="{00000000-0010-0000-0000-000007000000}" name="Column7" dataDxfId="261"/>
    <tableColumn id="8" xr3:uid="{00000000-0010-0000-0000-000008000000}" name="Column8" dataDxfId="260"/>
    <tableColumn id="9" xr3:uid="{00000000-0010-0000-0000-000009000000}" name="Column9" dataDxfId="259"/>
    <tableColumn id="10" xr3:uid="{00000000-0010-0000-0000-00000A000000}" name="Column10" dataDxfId="258"/>
    <tableColumn id="11" xr3:uid="{00000000-0010-0000-0000-00000B000000}" name="Column11" dataDxfId="257"/>
    <tableColumn id="12" xr3:uid="{00000000-0010-0000-0000-00000C000000}" name="Column12" dataDxfId="256"/>
    <tableColumn id="13" xr3:uid="{00000000-0010-0000-0000-00000D000000}" name="Column13" dataDxfId="255"/>
  </tableColumns>
  <tableStyleInfo name="Meds-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100Meds" displayName="tbl100Meds" ref="AF10:AR27" headerRowCount="0" headerRowDxfId="254" dataDxfId="253" totalsRowDxfId="252">
  <tableColumns count="13">
    <tableColumn id="1" xr3:uid="{00000000-0010-0000-0100-000001000000}" name="Column1" dataDxfId="251"/>
    <tableColumn id="2" xr3:uid="{00000000-0010-0000-0100-000002000000}" name="Column2" dataDxfId="250"/>
    <tableColumn id="3" xr3:uid="{00000000-0010-0000-0100-000003000000}" name="Column3" dataDxfId="249"/>
    <tableColumn id="4" xr3:uid="{00000000-0010-0000-0100-000004000000}" name="Column4" dataDxfId="248"/>
    <tableColumn id="5" xr3:uid="{00000000-0010-0000-0100-000005000000}" name="Column5" dataDxfId="247"/>
    <tableColumn id="6" xr3:uid="{00000000-0010-0000-0100-000006000000}" name="Column6" dataDxfId="246"/>
    <tableColumn id="7" xr3:uid="{00000000-0010-0000-0100-000007000000}" name="Column7" dataDxfId="245"/>
    <tableColumn id="8" xr3:uid="{00000000-0010-0000-0100-000008000000}" name="Column8" dataDxfId="244"/>
    <tableColumn id="9" xr3:uid="{00000000-0010-0000-0100-000009000000}" name="Column9" dataDxfId="243"/>
    <tableColumn id="10" xr3:uid="{00000000-0010-0000-0100-00000A000000}" name="Column10" dataDxfId="242"/>
    <tableColumn id="11" xr3:uid="{00000000-0010-0000-0100-00000B000000}" name="Column11" dataDxfId="241"/>
    <tableColumn id="12" xr3:uid="{00000000-0010-0000-0100-00000C000000}" name="Column12" dataDxfId="240"/>
    <tableColumn id="13" xr3:uid="{00000000-0010-0000-0100-00000D000000}" name="Column13" dataDxfId="239"/>
  </tableColumns>
  <tableStyleInfo name="Meds-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Glitchless100Meds" displayName="tblGlitchless100Meds" ref="AF33:AR50" headerRowCount="0" headerRowDxfId="238" dataDxfId="237" totalsRowDxfId="236">
  <tableColumns count="13">
    <tableColumn id="1" xr3:uid="{00000000-0010-0000-0200-000001000000}" name="Column1" dataDxfId="235"/>
    <tableColumn id="2" xr3:uid="{00000000-0010-0000-0200-000002000000}" name="Column2" dataDxfId="234"/>
    <tableColumn id="3" xr3:uid="{00000000-0010-0000-0200-000003000000}" name="Column3" dataDxfId="233"/>
    <tableColumn id="4" xr3:uid="{00000000-0010-0000-0200-000004000000}" name="Column4" dataDxfId="232"/>
    <tableColumn id="5" xr3:uid="{00000000-0010-0000-0200-000005000000}" name="Column5" dataDxfId="231"/>
    <tableColumn id="6" xr3:uid="{00000000-0010-0000-0200-000006000000}" name="Column6" dataDxfId="230"/>
    <tableColumn id="7" xr3:uid="{00000000-0010-0000-0200-000007000000}" name="Column7" dataDxfId="229"/>
    <tableColumn id="8" xr3:uid="{00000000-0010-0000-0200-000008000000}" name="Column8" dataDxfId="228"/>
    <tableColumn id="9" xr3:uid="{00000000-0010-0000-0200-000009000000}" name="Column9" dataDxfId="227"/>
    <tableColumn id="10" xr3:uid="{00000000-0010-0000-0200-00000A000000}" name="Column10" dataDxfId="226"/>
    <tableColumn id="11" xr3:uid="{00000000-0010-0000-0200-00000B000000}" name="Column11" dataDxfId="225"/>
    <tableColumn id="12" xr3:uid="{00000000-0010-0000-0200-00000C000000}" name="Column12" dataDxfId="224"/>
    <tableColumn id="13" xr3:uid="{00000000-0010-0000-0200-00000D000000}" name="Column13" dataDxfId="223"/>
  </tableColumns>
  <tableStyleInfo name="Meds-style 3"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AnyMeds" displayName="tblAnyMeds" ref="B10:N27" headerRowCount="0" headerRowDxfId="222" dataDxfId="221" totalsRowDxfId="220">
  <tableColumns count="13">
    <tableColumn id="1" xr3:uid="{00000000-0010-0000-0300-000001000000}" name="Column1" dataDxfId="219"/>
    <tableColumn id="2" xr3:uid="{00000000-0010-0000-0300-000002000000}" name="Column2" dataDxfId="218"/>
    <tableColumn id="3" xr3:uid="{00000000-0010-0000-0300-000003000000}" name="Column3" dataDxfId="217"/>
    <tableColumn id="4" xr3:uid="{00000000-0010-0000-0300-000004000000}" name="Column4" dataDxfId="216"/>
    <tableColumn id="5" xr3:uid="{00000000-0010-0000-0300-000005000000}" name="Column5" dataDxfId="215"/>
    <tableColumn id="6" xr3:uid="{00000000-0010-0000-0300-000006000000}" name="Column6" dataDxfId="214"/>
    <tableColumn id="7" xr3:uid="{00000000-0010-0000-0300-000007000000}" name="Column7" dataDxfId="213"/>
    <tableColumn id="8" xr3:uid="{00000000-0010-0000-0300-000008000000}" name="Column8" dataDxfId="212"/>
    <tableColumn id="9" xr3:uid="{00000000-0010-0000-0300-000009000000}" name="Column9" dataDxfId="211"/>
    <tableColumn id="10" xr3:uid="{00000000-0010-0000-0300-00000A000000}" name="Column10" dataDxfId="210"/>
    <tableColumn id="11" xr3:uid="{00000000-0010-0000-0300-00000B000000}" name="Column11" dataDxfId="209"/>
    <tableColumn id="12" xr3:uid="{00000000-0010-0000-0300-00000C000000}" name="Column12" dataDxfId="208"/>
    <tableColumn id="13" xr3:uid="{00000000-0010-0000-0300-00000D000000}" name="Column13" dataDxfId="207"/>
  </tableColumns>
  <tableStyleInfo name="Meds-style 4"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GlitchlessSecretsMeds" displayName="tblGlitchlessSecretsMeds" ref="Q33:AC50" headerRowCount="0" headerRowDxfId="206" dataDxfId="205" totalsRowDxfId="204">
  <tableColumns count="13">
    <tableColumn id="1" xr3:uid="{00000000-0010-0000-0400-000001000000}" name="Column1" dataDxfId="203"/>
    <tableColumn id="2" xr3:uid="{00000000-0010-0000-0400-000002000000}" name="Column2" dataDxfId="202"/>
    <tableColumn id="3" xr3:uid="{00000000-0010-0000-0400-000003000000}" name="Column3" dataDxfId="201"/>
    <tableColumn id="4" xr3:uid="{00000000-0010-0000-0400-000004000000}" name="Column4" dataDxfId="200"/>
    <tableColumn id="5" xr3:uid="{00000000-0010-0000-0400-000005000000}" name="Column5" dataDxfId="199"/>
    <tableColumn id="6" xr3:uid="{00000000-0010-0000-0400-000006000000}" name="Column6" dataDxfId="198"/>
    <tableColumn id="7" xr3:uid="{00000000-0010-0000-0400-000007000000}" name="Column7" dataDxfId="197"/>
    <tableColumn id="8" xr3:uid="{00000000-0010-0000-0400-000008000000}" name="Column8" dataDxfId="196"/>
    <tableColumn id="9" xr3:uid="{00000000-0010-0000-0400-000009000000}" name="Column9" dataDxfId="195"/>
    <tableColumn id="10" xr3:uid="{00000000-0010-0000-0400-00000A000000}" name="Column10" dataDxfId="194"/>
    <tableColumn id="11" xr3:uid="{00000000-0010-0000-0400-00000B000000}" name="Column11" dataDxfId="193"/>
    <tableColumn id="12" xr3:uid="{00000000-0010-0000-0400-00000C000000}" name="Column12" dataDxfId="192"/>
    <tableColumn id="13" xr3:uid="{00000000-0010-0000-0400-00000D000000}" name="Column13" dataDxfId="191"/>
  </tableColumns>
  <tableStyleInfo name="Meds-style 5"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blSecretsMeds" displayName="tblSecretsMeds" ref="Q10:AC27" headerRowCount="0" headerRowDxfId="190" dataDxfId="189" totalsRowDxfId="188">
  <tableColumns count="13">
    <tableColumn id="1" xr3:uid="{00000000-0010-0000-0500-000001000000}" name="Column1" dataDxfId="187"/>
    <tableColumn id="2" xr3:uid="{00000000-0010-0000-0500-000002000000}" name="Column2" dataDxfId="186"/>
    <tableColumn id="3" xr3:uid="{00000000-0010-0000-0500-000003000000}" name="Column3" dataDxfId="185"/>
    <tableColumn id="4" xr3:uid="{00000000-0010-0000-0500-000004000000}" name="Column4" dataDxfId="184"/>
    <tableColumn id="5" xr3:uid="{00000000-0010-0000-0500-000005000000}" name="Column5" dataDxfId="183"/>
    <tableColumn id="6" xr3:uid="{00000000-0010-0000-0500-000006000000}" name="Column6" dataDxfId="182"/>
    <tableColumn id="7" xr3:uid="{00000000-0010-0000-0500-000007000000}" name="Column7" dataDxfId="181"/>
    <tableColumn id="8" xr3:uid="{00000000-0010-0000-0500-000008000000}" name="Column8" dataDxfId="180"/>
    <tableColumn id="9" xr3:uid="{00000000-0010-0000-0500-000009000000}" name="Column9" dataDxfId="179"/>
    <tableColumn id="10" xr3:uid="{00000000-0010-0000-0500-00000A000000}" name="Column10" dataDxfId="178"/>
    <tableColumn id="11" xr3:uid="{00000000-0010-0000-0500-00000B000000}" name="Column11" dataDxfId="177"/>
    <tableColumn id="12" xr3:uid="{00000000-0010-0000-0500-00000C000000}" name="Column12" dataDxfId="176"/>
    <tableColumn id="13" xr3:uid="{00000000-0010-0000-0500-00000D000000}" name="Column13" dataDxfId="175"/>
  </tableColumns>
  <tableStyleInfo name="Meds-style 6" showFirstColumn="1" showLastColumn="1"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blAnyKills" displayName="tblAnyKills" ref="M5:AD33" headerRowCount="0" headerRowDxfId="174" dataDxfId="173" totalsRowDxfId="171" tableBorderDxfId="172">
  <tableColumns count="18">
    <tableColumn id="1" xr3:uid="{00000000-0010-0000-0600-000001000000}" name="Column1" dataDxfId="170"/>
    <tableColumn id="2" xr3:uid="{00000000-0010-0000-0600-000002000000}" name="Column2" dataDxfId="169"/>
    <tableColumn id="3" xr3:uid="{00000000-0010-0000-0600-000003000000}" name="Column3" dataDxfId="168"/>
    <tableColumn id="4" xr3:uid="{00000000-0010-0000-0600-000004000000}" name="Column4" dataDxfId="167"/>
    <tableColumn id="5" xr3:uid="{00000000-0010-0000-0600-000005000000}" name="Column5" dataDxfId="166"/>
    <tableColumn id="6" xr3:uid="{00000000-0010-0000-0600-000006000000}" name="Column6" dataDxfId="165"/>
    <tableColumn id="7" xr3:uid="{00000000-0010-0000-0600-000007000000}" name="Column7" dataDxfId="164"/>
    <tableColumn id="8" xr3:uid="{00000000-0010-0000-0600-000008000000}" name="Column8" dataDxfId="163"/>
    <tableColumn id="9" xr3:uid="{00000000-0010-0000-0600-000009000000}" name="Column9" dataDxfId="162"/>
    <tableColumn id="10" xr3:uid="{00000000-0010-0000-0600-00000A000000}" name="Column10" dataDxfId="161"/>
    <tableColumn id="11" xr3:uid="{00000000-0010-0000-0600-00000B000000}" name="Column11" dataDxfId="160"/>
    <tableColumn id="12" xr3:uid="{00000000-0010-0000-0600-00000C000000}" name="Column12" dataDxfId="159"/>
    <tableColumn id="13" xr3:uid="{00000000-0010-0000-0600-00000D000000}" name="Column13" dataDxfId="158"/>
    <tableColumn id="14" xr3:uid="{00000000-0010-0000-0600-00000E000000}" name="Column14" dataDxfId="157"/>
    <tableColumn id="15" xr3:uid="{00000000-0010-0000-0600-00000F000000}" name="Column15" dataDxfId="156"/>
    <tableColumn id="16" xr3:uid="{00000000-0010-0000-0600-000010000000}" name="Column16" dataDxfId="155"/>
    <tableColumn id="17" xr3:uid="{00000000-0010-0000-0600-000011000000}" name="Column17" dataDxfId="154"/>
    <tableColumn id="18" xr3:uid="{00000000-0010-0000-0600-000012000000}" name="Column18" dataDxfId="153"/>
  </tableColumns>
  <tableStyleInfo showFirstColumn="1" showLastColumn="1"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blGlitchlessAnyKills" displayName="tblGlitchlessAnyKills" ref="M5:AD33" headerRowCount="0" headerRowDxfId="152" dataDxfId="151" totalsRowDxfId="149" tableBorderDxfId="150">
  <tableColumns count="18">
    <tableColumn id="1" xr3:uid="{00000000-0010-0000-0700-000001000000}" name="Column1" dataDxfId="148"/>
    <tableColumn id="2" xr3:uid="{00000000-0010-0000-0700-000002000000}" name="Column2" dataDxfId="147"/>
    <tableColumn id="3" xr3:uid="{00000000-0010-0000-0700-000003000000}" name="Column3" dataDxfId="146"/>
    <tableColumn id="4" xr3:uid="{00000000-0010-0000-0700-000004000000}" name="Column4" dataDxfId="145"/>
    <tableColumn id="5" xr3:uid="{00000000-0010-0000-0700-000005000000}" name="Column5" dataDxfId="144"/>
    <tableColumn id="6" xr3:uid="{00000000-0010-0000-0700-000006000000}" name="Column6" dataDxfId="143"/>
    <tableColumn id="7" xr3:uid="{00000000-0010-0000-0700-000007000000}" name="Column7" dataDxfId="142"/>
    <tableColumn id="8" xr3:uid="{00000000-0010-0000-0700-000008000000}" name="Column8" dataDxfId="141"/>
    <tableColumn id="9" xr3:uid="{00000000-0010-0000-0700-000009000000}" name="Column9" dataDxfId="140"/>
    <tableColumn id="10" xr3:uid="{00000000-0010-0000-0700-00000A000000}" name="Column10" dataDxfId="139"/>
    <tableColumn id="11" xr3:uid="{00000000-0010-0000-0700-00000B000000}" name="Column11" dataDxfId="138"/>
    <tableColumn id="12" xr3:uid="{00000000-0010-0000-0700-00000C000000}" name="Column12" dataDxfId="137"/>
    <tableColumn id="13" xr3:uid="{00000000-0010-0000-0700-00000D000000}" name="Column13" dataDxfId="136"/>
    <tableColumn id="14" xr3:uid="{00000000-0010-0000-0700-00000E000000}" name="Column14" dataDxfId="135"/>
    <tableColumn id="15" xr3:uid="{00000000-0010-0000-0700-00000F000000}" name="Column15" dataDxfId="134"/>
    <tableColumn id="16" xr3:uid="{00000000-0010-0000-0700-000010000000}" name="Column16" dataDxfId="133"/>
    <tableColumn id="17" xr3:uid="{00000000-0010-0000-0700-000011000000}" name="Column17" dataDxfId="132"/>
    <tableColumn id="18" xr3:uid="{00000000-0010-0000-0700-000012000000}" name="Column18" dataDxfId="131"/>
  </tableColumns>
  <tableStyleInfo showFirstColumn="1" showLastColumn="1"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FF6A799-5D65-400C-88A6-3317E10B0251}" name="tblSecretsKills" displayName="tblSecretsKills" ref="M5:AD33" headerRowCount="0" headerRowDxfId="130" dataDxfId="129" totalsRowDxfId="127" tableBorderDxfId="128">
  <tableColumns count="18">
    <tableColumn id="1" xr3:uid="{AE38D977-8957-46A4-9C45-32985A2044BA}" name="Column1" dataDxfId="126"/>
    <tableColumn id="2" xr3:uid="{5C95450F-D01D-43C2-919F-6B8952A00D5F}" name="Column2" dataDxfId="125"/>
    <tableColumn id="3" xr3:uid="{251C59F6-01AF-42EA-9A33-AE2EF2A2B228}" name="Column3" dataDxfId="124"/>
    <tableColumn id="4" xr3:uid="{D0B5B4C5-6C10-4944-9B71-B8D23C8BE052}" name="Column4" dataDxfId="123"/>
    <tableColumn id="5" xr3:uid="{579F962A-901C-49BD-9DA5-031D4FD9CBB1}" name="Column5" dataDxfId="122"/>
    <tableColumn id="6" xr3:uid="{EE765E92-8940-49ED-A20E-F46AEF5E9605}" name="Column6" dataDxfId="121"/>
    <tableColumn id="7" xr3:uid="{754FCFF9-733F-4EEF-A161-93143E8B4525}" name="Column7" dataDxfId="120"/>
    <tableColumn id="8" xr3:uid="{C874C015-8C9C-4442-A4C0-DF66AE1BB55E}" name="Column8" dataDxfId="119"/>
    <tableColumn id="9" xr3:uid="{B6627D17-64F2-48F7-813D-532652AA2C96}" name="Column9" dataDxfId="118"/>
    <tableColumn id="10" xr3:uid="{B8594BEB-98E1-4713-BF2A-1D65A4943ADD}" name="Column10" dataDxfId="117"/>
    <tableColumn id="11" xr3:uid="{C444F7EF-06CE-42E7-8E2A-02C6B0B274BA}" name="Column11" dataDxfId="116"/>
    <tableColumn id="12" xr3:uid="{627A5C4D-AB7A-4794-BAFE-909A616FD342}" name="Column12" dataDxfId="115"/>
    <tableColumn id="13" xr3:uid="{D480EC20-DE31-4649-8A06-0624C2FE9236}" name="Column13" dataDxfId="114"/>
    <tableColumn id="14" xr3:uid="{8B99F2B0-AC79-4039-9122-009770715800}" name="Column14" dataDxfId="113"/>
    <tableColumn id="15" xr3:uid="{6B8F5C17-C857-4A31-86B9-C8F88970FACA}" name="Column15" dataDxfId="112"/>
    <tableColumn id="16" xr3:uid="{B58F1480-E82F-484A-A869-4D26ABC934FD}" name="Column16" dataDxfId="111"/>
    <tableColumn id="17" xr3:uid="{3B0341C4-29F2-4F41-B248-C2010A6AF8F5}" name="Column17" dataDxfId="110"/>
    <tableColumn id="18" xr3:uid="{BBAA4738-15A3-449D-A7F6-5345D5049742}" name="Column18" dataDxfId="109"/>
  </tableColumns>
  <tableStyleInfo name="Glitched-style" showFirstColumn="1" showLastColumn="1"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2240F8A-AC46-40CE-A1C4-0650534AE707}" name="tblGlitchlessSecretsKills" displayName="tblGlitchlessSecretsKills" ref="M5:AD33" headerRowCount="0" headerRowDxfId="108" dataDxfId="107" totalsRowDxfId="105" tableBorderDxfId="106">
  <tableColumns count="18">
    <tableColumn id="1" xr3:uid="{E7B1F858-4028-4769-9C5C-9B4CB971904D}" name="Column1" dataDxfId="104"/>
    <tableColumn id="2" xr3:uid="{E43C10B5-7F46-4B0D-BF92-A6C3847D8F44}" name="Column2" dataDxfId="103"/>
    <tableColumn id="3" xr3:uid="{1C4711DF-2489-4EE8-9FAC-4110B124D09D}" name="Column3" dataDxfId="102"/>
    <tableColumn id="4" xr3:uid="{0B832D0B-1DCA-4312-BED4-80F102EA1A02}" name="Column4" dataDxfId="101"/>
    <tableColumn id="5" xr3:uid="{FC7BDB8B-F5F9-4678-8B1A-12436AB12D58}" name="Column5" dataDxfId="100"/>
    <tableColumn id="6" xr3:uid="{89DB7C90-93F5-4BC7-A63A-9B817434FE70}" name="Column6" dataDxfId="99"/>
    <tableColumn id="7" xr3:uid="{FDA80468-4410-4C4F-92E3-1AA6FB6A29D4}" name="Column7" dataDxfId="98"/>
    <tableColumn id="8" xr3:uid="{59F55D4F-0428-4691-B44C-B00841B9965A}" name="Column8" dataDxfId="97"/>
    <tableColumn id="9" xr3:uid="{FAD11E59-5C7F-45C6-A8F3-9533CDA2AB42}" name="Column9" dataDxfId="96"/>
    <tableColumn id="10" xr3:uid="{04195D70-EBAD-48B4-B7CD-A14D582A9432}" name="Column10" dataDxfId="95"/>
    <tableColumn id="11" xr3:uid="{EF14975D-87D1-4F50-81D9-0F61266B2CC2}" name="Column11" dataDxfId="94"/>
    <tableColumn id="12" xr3:uid="{2A4CAFDF-A2AE-48D0-BFA6-5FAC516669CF}" name="Column12" dataDxfId="93"/>
    <tableColumn id="13" xr3:uid="{7CA8F41F-1658-46AC-BE49-012E02A4E7C5}" name="Column13" dataDxfId="92"/>
    <tableColumn id="14" xr3:uid="{EE3CF8BB-DCC4-4F8E-807B-5360C14B46CB}" name="Column14" dataDxfId="91"/>
    <tableColumn id="15" xr3:uid="{7521261C-1B41-44CB-823C-53774734E332}" name="Column15" dataDxfId="90"/>
    <tableColumn id="16" xr3:uid="{F3D2F1E3-956C-47CD-B2B2-18AB57811D8C}" name="Column16" dataDxfId="89"/>
    <tableColumn id="17" xr3:uid="{41470D83-FBBE-492A-99B1-A549BD40CF5E}" name="Column17" dataDxfId="88"/>
    <tableColumn id="18" xr3:uid="{2B5361E5-5372-474B-91F4-CD44F8C81EB8}" name="Column18" dataDxfId="87"/>
  </tableColumns>
  <tableStyleInfo name="Glitched-style" showFirstColumn="1" showLastColumn="1"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bl100Kills" displayName="tbl100Kills" ref="M5:AD33" headerRowCount="0" headerRowDxfId="86" dataDxfId="85" totalsRowDxfId="83" tableBorderDxfId="84">
  <tableColumns count="18">
    <tableColumn id="1" xr3:uid="{00000000-0010-0000-0800-000001000000}" name="Column1" dataDxfId="82"/>
    <tableColumn id="2" xr3:uid="{00000000-0010-0000-0800-000002000000}" name="Column2" dataDxfId="81"/>
    <tableColumn id="3" xr3:uid="{00000000-0010-0000-0800-000003000000}" name="Column3" dataDxfId="80"/>
    <tableColumn id="4" xr3:uid="{00000000-0010-0000-0800-000004000000}" name="Column4" dataDxfId="79"/>
    <tableColumn id="5" xr3:uid="{00000000-0010-0000-0800-000005000000}" name="Column5" dataDxfId="78"/>
    <tableColumn id="6" xr3:uid="{00000000-0010-0000-0800-000006000000}" name="Column6" dataDxfId="77"/>
    <tableColumn id="7" xr3:uid="{00000000-0010-0000-0800-000007000000}" name="Column7" dataDxfId="76"/>
    <tableColumn id="8" xr3:uid="{00000000-0010-0000-0800-000008000000}" name="Column8" dataDxfId="75"/>
    <tableColumn id="9" xr3:uid="{00000000-0010-0000-0800-000009000000}" name="Column9" dataDxfId="74"/>
    <tableColumn id="10" xr3:uid="{00000000-0010-0000-0800-00000A000000}" name="Column10" dataDxfId="73"/>
    <tableColumn id="11" xr3:uid="{00000000-0010-0000-0800-00000B000000}" name="Column11" dataDxfId="72"/>
    <tableColumn id="12" xr3:uid="{00000000-0010-0000-0800-00000C000000}" name="Column12" dataDxfId="71"/>
    <tableColumn id="13" xr3:uid="{00000000-0010-0000-0800-00000D000000}" name="Column13" dataDxfId="70"/>
    <tableColumn id="14" xr3:uid="{00000000-0010-0000-0800-00000E000000}" name="Column14" dataDxfId="69"/>
    <tableColumn id="15" xr3:uid="{00000000-0010-0000-0800-00000F000000}" name="Column15" dataDxfId="68"/>
    <tableColumn id="16" xr3:uid="{00000000-0010-0000-0800-000010000000}" name="Column16" dataDxfId="67"/>
    <tableColumn id="17" xr3:uid="{00000000-0010-0000-0800-000011000000}" name="Column17" dataDxfId="66"/>
    <tableColumn id="18" xr3:uid="{00000000-0010-0000-0800-000012000000}" name="Column18" dataDxfId="65"/>
  </tableColumns>
  <tableStyleInfo name="Glitched 100%-style" showFirstColumn="1" showLastColumn="1"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blGlitchless100Kills" displayName="tblGlitchless100Kills" ref="M5:AD33" headerRowCount="0" headerRowDxfId="64" dataDxfId="63" totalsRowDxfId="61" tableBorderDxfId="62">
  <tableColumns count="18">
    <tableColumn id="1" xr3:uid="{00000000-0010-0000-0900-000001000000}" name="Column1" dataDxfId="60"/>
    <tableColumn id="2" xr3:uid="{00000000-0010-0000-0900-000002000000}" name="Column2" dataDxfId="59"/>
    <tableColumn id="3" xr3:uid="{00000000-0010-0000-0900-000003000000}" name="Column3" dataDxfId="58"/>
    <tableColumn id="4" xr3:uid="{00000000-0010-0000-0900-000004000000}" name="Column4" dataDxfId="57"/>
    <tableColumn id="5" xr3:uid="{00000000-0010-0000-0900-000005000000}" name="Column5" dataDxfId="56"/>
    <tableColumn id="6" xr3:uid="{00000000-0010-0000-0900-000006000000}" name="Column6" dataDxfId="55"/>
    <tableColumn id="7" xr3:uid="{00000000-0010-0000-0900-000007000000}" name="Column7" dataDxfId="54"/>
    <tableColumn id="8" xr3:uid="{00000000-0010-0000-0900-000008000000}" name="Column8" dataDxfId="53"/>
    <tableColumn id="9" xr3:uid="{00000000-0010-0000-0900-000009000000}" name="Column9" dataDxfId="52"/>
    <tableColumn id="10" xr3:uid="{00000000-0010-0000-0900-00000A000000}" name="Column10" dataDxfId="51"/>
    <tableColumn id="11" xr3:uid="{00000000-0010-0000-0900-00000B000000}" name="Column11" dataDxfId="50"/>
    <tableColumn id="12" xr3:uid="{00000000-0010-0000-0900-00000C000000}" name="Column12" dataDxfId="49"/>
    <tableColumn id="13" xr3:uid="{00000000-0010-0000-0900-00000D000000}" name="Column13" dataDxfId="48"/>
    <tableColumn id="14" xr3:uid="{00000000-0010-0000-0900-00000E000000}" name="Column14" dataDxfId="47"/>
    <tableColumn id="15" xr3:uid="{00000000-0010-0000-0900-00000F000000}" name="Column15" dataDxfId="46"/>
    <tableColumn id="16" xr3:uid="{00000000-0010-0000-0900-000010000000}" name="Column16" dataDxfId="45"/>
    <tableColumn id="17" xr3:uid="{00000000-0010-0000-0900-000011000000}" name="Column17" dataDxfId="44"/>
    <tableColumn id="18" xr3:uid="{00000000-0010-0000-0900-000012000000}" name="Column18" dataDxfId="43"/>
  </tableColumns>
  <tableStyleInfo name="Glitched 100%-style" showFirstColumn="1" showLastColumn="1"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EEEEDFE-5F0C-4400-9F51-219C3E831B1C}" name="tbl100Counts" displayName="tbl100Counts" ref="C3:O22" tableBorderDxfId="42">
  <autoFilter ref="C3:O22" xr:uid="{67872080-321E-4E18-9A2F-C3C2D8039A1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3A127961-439F-4F96-A0F5-9081B6896014}" name="Kills" totalsRowLabel="Total"/>
    <tableColumn id="2" xr3:uid="{6B6A8369-CD0F-4343-9C82-02A7DCC598AC}" name="Pickups"/>
    <tableColumn id="3" xr3:uid="{BC82A852-018E-4DAA-BB84-E5A1F55E6D7A}" name="Key/Misc"/>
    <tableColumn id="4" xr3:uid="{D9D9F8D2-7DBF-483B-8637-5BBC8011452A}" name="Flare"/>
    <tableColumn id="5" xr3:uid="{E59E666D-40AD-4D66-A073-0677B4F7A22B}" name="Secrets"/>
    <tableColumn id="6" xr3:uid="{50008BBC-8CD5-4C99-86E7-50BBA1374248}" name="Small Med"/>
    <tableColumn id="7" xr3:uid="{311859C8-02DB-4ACB-87BB-E00593259424}" name="Large Med"/>
    <tableColumn id="8" xr3:uid="{B4F03B46-D1ED-4104-9B36-4444700CF136}" name="Auto"/>
    <tableColumn id="9" xr3:uid="{975B6C66-CAB7-46B6-948E-B49AEF3E91FA}" name="Shotgun"/>
    <tableColumn id="10" xr3:uid="{39ACA9B2-E346-424A-A779-E79F6E3FEE06}" name="Uzi"/>
    <tableColumn id="11" xr3:uid="{684917E6-38FC-49E8-8300-2CEE381BD72D}" name="Harpoon"/>
    <tableColumn id="12" xr3:uid="{477CD999-D7CE-4B42-8B76-3BED792F314B}" name="M16"/>
    <tableColumn id="13" xr3:uid="{7351C7FA-C239-4809-BF15-178766DDD935}" name="Grenades" totalsRowFunction="count"/>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4F54FCE-E1E3-4888-9657-4599C96F028B}" name="tblGlitchless100Counts" displayName="tblGlitchless100Counts" ref="C3:O22" totalsRowShown="0" tableBorderDxfId="41">
  <autoFilter ref="C3:O22" xr:uid="{C7E1205F-C714-454E-BD34-382C3DC3282B}">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73ABB741-B5D2-4660-870F-329E5CA05635}" name="Kills"/>
    <tableColumn id="2" xr3:uid="{C595BD5C-FA15-4201-B5EA-7AC2C2323451}" name="Pickups"/>
    <tableColumn id="3" xr3:uid="{821E9615-E3E1-4667-B3AD-1897896CC214}" name="Key/Misc"/>
    <tableColumn id="4" xr3:uid="{9F5BB5AE-BADD-4C86-9E1B-E9368D550259}" name="Flare"/>
    <tableColumn id="5" xr3:uid="{9CADCB13-5123-43E0-8A5B-9F931FB10029}" name="Secrets"/>
    <tableColumn id="6" xr3:uid="{D8B8570E-D60B-4AEC-89D7-49729B3E33B5}" name="Small Med"/>
    <tableColumn id="7" xr3:uid="{94D78E76-9E3B-43BB-95DE-892FFFA05B75}" name="Large Med"/>
    <tableColumn id="8" xr3:uid="{C692B6EF-EEE2-4EAB-9771-E37CF8C8F569}" name="Auto"/>
    <tableColumn id="9" xr3:uid="{CD105909-01F1-4B3F-9A57-D58B555D2297}" name="Shotgun"/>
    <tableColumn id="10" xr3:uid="{4496FED7-FC4C-479E-9573-34097192811F}" name="Uzi"/>
    <tableColumn id="11" xr3:uid="{D0797306-8C4F-4AF8-ACC7-AC9B2DDA2115}" name="Harpoon"/>
    <tableColumn id="12" xr3:uid="{C70ACFEA-734E-43BC-B931-EAC4CB1B93CE}" name="M16"/>
    <tableColumn id="13" xr3:uid="{DD7497E1-69F4-4AA9-8B19-D37EEE5B438B}" name="Grenades"/>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speedrun.com/tr2" TargetMode="External"/><Relationship Id="rId1" Type="http://schemas.openxmlformats.org/officeDocument/2006/relationships/hyperlink" Target="https://discord.gg/YwYJMu5"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8.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9.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0.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comments" Target="../comments6.xml"/><Relationship Id="rId4"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7.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01">
    <outlinePr summaryBelow="0" summaryRight="0"/>
  </sheetPr>
  <dimension ref="A1:G34"/>
  <sheetViews>
    <sheetView showGridLines="0" tabSelected="1" zoomScale="130" zoomScaleNormal="130" workbookViewId="0"/>
  </sheetViews>
  <sheetFormatPr defaultColWidth="0" defaultRowHeight="0" customHeight="1" zeroHeight="1" x14ac:dyDescent="0.25"/>
  <cols>
    <col min="1" max="1" width="2" style="187" customWidth="1"/>
    <col min="2" max="2" width="15.140625" style="1" bestFit="1" customWidth="1"/>
    <col min="3" max="6" width="16.28515625" style="1" customWidth="1"/>
    <col min="7" max="7" width="2" style="187" customWidth="1"/>
    <col min="8" max="16384" width="14.42578125" style="1" hidden="1"/>
  </cols>
  <sheetData>
    <row r="1" spans="1:7" ht="10.5" customHeight="1" thickBot="1" x14ac:dyDescent="0.3">
      <c r="A1" s="185"/>
      <c r="B1" s="186"/>
      <c r="C1" s="186"/>
      <c r="D1" s="186"/>
      <c r="E1" s="186"/>
      <c r="F1" s="186"/>
      <c r="G1" s="185"/>
    </row>
    <row r="2" spans="1:7" ht="20.100000000000001" customHeight="1" x14ac:dyDescent="0.25">
      <c r="B2" s="303" t="s">
        <v>0</v>
      </c>
      <c r="C2" s="300" t="s">
        <v>1</v>
      </c>
      <c r="D2" s="301"/>
      <c r="E2" s="300" t="s">
        <v>4</v>
      </c>
      <c r="F2" s="302"/>
    </row>
    <row r="3" spans="1:7" ht="20.100000000000001" customHeight="1" thickBot="1" x14ac:dyDescent="0.3">
      <c r="B3" s="277"/>
      <c r="C3" s="272" t="s">
        <v>6</v>
      </c>
      <c r="D3" s="273"/>
      <c r="E3" s="272" t="s">
        <v>9</v>
      </c>
      <c r="F3" s="304"/>
    </row>
    <row r="4" spans="1:7" ht="20.100000000000001" customHeight="1" thickTop="1" x14ac:dyDescent="0.25">
      <c r="B4" s="274" t="s">
        <v>10</v>
      </c>
      <c r="C4" s="305" t="s">
        <v>152</v>
      </c>
      <c r="D4" s="306"/>
      <c r="E4" s="306"/>
      <c r="F4" s="296"/>
    </row>
    <row r="5" spans="1:7" ht="20.100000000000001" customHeight="1" x14ac:dyDescent="0.25">
      <c r="B5" s="275"/>
      <c r="C5" s="294"/>
      <c r="D5" s="295"/>
      <c r="E5" s="295"/>
      <c r="F5" s="296"/>
    </row>
    <row r="6" spans="1:7" ht="20.100000000000001" customHeight="1" x14ac:dyDescent="0.25">
      <c r="B6" s="275"/>
      <c r="C6" s="278" t="s">
        <v>150</v>
      </c>
      <c r="D6" s="279"/>
      <c r="E6" s="279"/>
      <c r="F6" s="280"/>
    </row>
    <row r="7" spans="1:7" ht="20.100000000000001" customHeight="1" x14ac:dyDescent="0.25">
      <c r="B7" s="275"/>
      <c r="C7" s="278"/>
      <c r="D7" s="279"/>
      <c r="E7" s="279"/>
      <c r="F7" s="280"/>
    </row>
    <row r="8" spans="1:7" ht="20.100000000000001" customHeight="1" x14ac:dyDescent="0.25">
      <c r="B8" s="275"/>
      <c r="C8" s="278"/>
      <c r="D8" s="279"/>
      <c r="E8" s="279"/>
      <c r="F8" s="280"/>
    </row>
    <row r="9" spans="1:7" ht="20.100000000000001" customHeight="1" x14ac:dyDescent="0.25">
      <c r="B9" s="275"/>
      <c r="C9" s="278" t="s">
        <v>138</v>
      </c>
      <c r="D9" s="279"/>
      <c r="E9" s="279"/>
      <c r="F9" s="280"/>
    </row>
    <row r="10" spans="1:7" ht="20.100000000000001" customHeight="1" x14ac:dyDescent="0.25">
      <c r="B10" s="275"/>
      <c r="C10" s="278" t="s">
        <v>153</v>
      </c>
      <c r="D10" s="279"/>
      <c r="E10" s="279"/>
      <c r="F10" s="280"/>
    </row>
    <row r="11" spans="1:7" ht="20.100000000000001" customHeight="1" x14ac:dyDescent="0.25">
      <c r="B11" s="275"/>
      <c r="C11" s="278" t="s">
        <v>144</v>
      </c>
      <c r="D11" s="279"/>
      <c r="E11" s="279"/>
      <c r="F11" s="280"/>
    </row>
    <row r="12" spans="1:7" ht="20.100000000000001" customHeight="1" thickBot="1" x14ac:dyDescent="0.3">
      <c r="B12" s="277"/>
      <c r="C12" s="278" t="s">
        <v>154</v>
      </c>
      <c r="D12" s="279"/>
      <c r="E12" s="279"/>
      <c r="F12" s="280"/>
    </row>
    <row r="13" spans="1:7" ht="20.100000000000001" customHeight="1" thickTop="1" x14ac:dyDescent="0.25">
      <c r="B13" s="281" t="s">
        <v>19</v>
      </c>
      <c r="C13" s="291" t="s">
        <v>151</v>
      </c>
      <c r="D13" s="292"/>
      <c r="E13" s="292"/>
      <c r="F13" s="293"/>
    </row>
    <row r="14" spans="1:7" ht="20.100000000000001" customHeight="1" x14ac:dyDescent="0.25">
      <c r="B14" s="274"/>
      <c r="C14" s="294"/>
      <c r="D14" s="295"/>
      <c r="E14" s="295"/>
      <c r="F14" s="296"/>
    </row>
    <row r="15" spans="1:7" ht="20.100000000000001" customHeight="1" thickBot="1" x14ac:dyDescent="0.3">
      <c r="B15" s="282"/>
      <c r="C15" s="297"/>
      <c r="D15" s="298"/>
      <c r="E15" s="298"/>
      <c r="F15" s="299"/>
    </row>
    <row r="16" spans="1:7" ht="20.100000000000001" customHeight="1" thickTop="1" x14ac:dyDescent="0.25">
      <c r="B16" s="289" t="s">
        <v>25</v>
      </c>
      <c r="C16" s="283" t="s">
        <v>140</v>
      </c>
      <c r="D16" s="284"/>
      <c r="E16" s="284"/>
      <c r="F16" s="285"/>
    </row>
    <row r="17" spans="2:6" ht="20.100000000000001" customHeight="1" x14ac:dyDescent="0.25">
      <c r="B17" s="289"/>
      <c r="C17" s="283"/>
      <c r="D17" s="284"/>
      <c r="E17" s="284"/>
      <c r="F17" s="285"/>
    </row>
    <row r="18" spans="2:6" ht="20.100000000000001" customHeight="1" x14ac:dyDescent="0.25">
      <c r="B18" s="289"/>
      <c r="C18" s="283"/>
      <c r="D18" s="284"/>
      <c r="E18" s="284"/>
      <c r="F18" s="285"/>
    </row>
    <row r="19" spans="2:6" ht="20.100000000000001" customHeight="1" x14ac:dyDescent="0.25">
      <c r="B19" s="289"/>
      <c r="C19" s="283"/>
      <c r="D19" s="284"/>
      <c r="E19" s="284"/>
      <c r="F19" s="285"/>
    </row>
    <row r="20" spans="2:6" ht="20.100000000000001" customHeight="1" x14ac:dyDescent="0.25">
      <c r="B20" s="289"/>
      <c r="C20" s="283"/>
      <c r="D20" s="284"/>
      <c r="E20" s="284"/>
      <c r="F20" s="285"/>
    </row>
    <row r="21" spans="2:6" ht="19.5" customHeight="1" thickBot="1" x14ac:dyDescent="0.3">
      <c r="B21" s="290"/>
      <c r="C21" s="286"/>
      <c r="D21" s="287"/>
      <c r="E21" s="287"/>
      <c r="F21" s="288"/>
    </row>
    <row r="22" spans="2:6" ht="20.100000000000001" customHeight="1" thickTop="1" x14ac:dyDescent="0.25">
      <c r="B22" s="274" t="s">
        <v>32</v>
      </c>
      <c r="C22" s="267" t="s">
        <v>139</v>
      </c>
      <c r="D22" s="268"/>
      <c r="E22" s="268"/>
      <c r="F22" s="269"/>
    </row>
    <row r="23" spans="2:6" ht="20.100000000000001" customHeight="1" x14ac:dyDescent="0.25">
      <c r="B23" s="275"/>
      <c r="C23" s="267" t="s">
        <v>33</v>
      </c>
      <c r="D23" s="270"/>
      <c r="E23" s="270"/>
      <c r="F23" s="271"/>
    </row>
    <row r="24" spans="2:6" ht="20.100000000000001" customHeight="1" thickBot="1" x14ac:dyDescent="0.3">
      <c r="B24" s="276"/>
      <c r="C24" s="264" t="s">
        <v>37</v>
      </c>
      <c r="D24" s="265"/>
      <c r="E24" s="265"/>
      <c r="F24" s="266"/>
    </row>
    <row r="25" spans="2:6" ht="10.5" customHeight="1" x14ac:dyDescent="0.25">
      <c r="B25" s="184"/>
      <c r="C25" s="184"/>
      <c r="D25" s="184"/>
      <c r="E25" s="184"/>
      <c r="F25" s="184"/>
    </row>
    <row r="26" spans="2:6" ht="0" hidden="1" customHeight="1" x14ac:dyDescent="0.25"/>
    <row r="27" spans="2:6" ht="0" hidden="1" customHeight="1" x14ac:dyDescent="0.25"/>
    <row r="28" spans="2:6" ht="0" hidden="1" customHeight="1" x14ac:dyDescent="0.25"/>
    <row r="29" spans="2:6" ht="0" hidden="1" customHeight="1" x14ac:dyDescent="0.25"/>
    <row r="30" spans="2:6" ht="0" hidden="1" customHeight="1" x14ac:dyDescent="0.25"/>
    <row r="31" spans="2:6" ht="0" hidden="1" customHeight="1" x14ac:dyDescent="0.25"/>
    <row r="32" spans="2:6" ht="0" hidden="1" customHeight="1" x14ac:dyDescent="0.25"/>
    <row r="33" ht="0" hidden="1" customHeight="1" x14ac:dyDescent="0.25"/>
    <row r="34" ht="0" hidden="1" customHeight="1" x14ac:dyDescent="0.25"/>
  </sheetData>
  <sheetProtection algorithmName="SHA-512" hashValue="KG9X8gconOfTtCGnm4Py7RjlmGKdMz+db8zG0gc0Fb9DtQVYBzwphw7vxZe1BiuiebxIMvf4MfZtWU2lUujS+g==" saltValue="P3EtWyrYvbf3ZEjpdl4Kkg==" spinCount="100000" sheet="1" objects="1" scenarios="1"/>
  <mergeCells count="20">
    <mergeCell ref="C2:D2"/>
    <mergeCell ref="E2:F2"/>
    <mergeCell ref="B2:B3"/>
    <mergeCell ref="E3:F3"/>
    <mergeCell ref="C4:F5"/>
    <mergeCell ref="C24:F24"/>
    <mergeCell ref="C22:F22"/>
    <mergeCell ref="C23:F23"/>
    <mergeCell ref="C3:D3"/>
    <mergeCell ref="B22:B24"/>
    <mergeCell ref="B4:B12"/>
    <mergeCell ref="C11:F11"/>
    <mergeCell ref="C12:F12"/>
    <mergeCell ref="B13:B15"/>
    <mergeCell ref="C16:F21"/>
    <mergeCell ref="B16:B21"/>
    <mergeCell ref="C6:F8"/>
    <mergeCell ref="C9:F9"/>
    <mergeCell ref="C10:F10"/>
    <mergeCell ref="C13:F15"/>
  </mergeCells>
  <hyperlinks>
    <hyperlink ref="C3" r:id="rId1" xr:uid="{00000000-0004-0000-0000-000000000000}"/>
    <hyperlink ref="E3" r:id="rId2" xr:uid="{00000000-0004-0000-0000-000001000000}"/>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02"/>
  <dimension ref="A1:H58"/>
  <sheetViews>
    <sheetView showGridLines="0" zoomScale="310" zoomScaleNormal="310" workbookViewId="0"/>
  </sheetViews>
  <sheetFormatPr defaultColWidth="0" defaultRowHeight="15.75" zeroHeight="1" x14ac:dyDescent="0.2"/>
  <cols>
    <col min="1" max="1" width="2" style="103" customWidth="1"/>
    <col min="2" max="2" width="22.28515625" style="102" customWidth="1"/>
    <col min="3" max="3" width="22.42578125" style="102" customWidth="1"/>
    <col min="4" max="4" width="19.28515625" style="102" bestFit="1" customWidth="1"/>
    <col min="5" max="5" width="2" style="103" customWidth="1"/>
    <col min="6" max="8" width="9.140625" style="104" hidden="1" customWidth="1"/>
    <col min="9" max="16384" width="9.140625" style="102" hidden="1"/>
  </cols>
  <sheetData>
    <row r="1" spans="1:8" s="103" customFormat="1" ht="10.5" customHeight="1" thickBot="1" x14ac:dyDescent="0.25">
      <c r="A1" s="132"/>
      <c r="B1" s="190"/>
      <c r="C1" s="190"/>
      <c r="D1" s="190"/>
      <c r="E1" s="132"/>
      <c r="F1" s="104"/>
      <c r="G1" s="104"/>
      <c r="H1" s="104"/>
    </row>
    <row r="2" spans="1:8" ht="31.5" customHeight="1" thickBot="1" x14ac:dyDescent="0.25">
      <c r="A2" s="132"/>
      <c r="B2" s="307" t="s">
        <v>142</v>
      </c>
      <c r="C2" s="308"/>
      <c r="D2" s="188" t="s">
        <v>132</v>
      </c>
      <c r="E2" s="132"/>
    </row>
    <row r="3" spans="1:8" ht="31.5" customHeight="1" thickBot="1" x14ac:dyDescent="0.25">
      <c r="A3" s="132"/>
      <c r="B3" s="307" t="s">
        <v>135</v>
      </c>
      <c r="C3" s="308"/>
      <c r="D3" s="189" t="s">
        <v>133</v>
      </c>
      <c r="E3" s="132"/>
    </row>
    <row r="4" spans="1:8" ht="31.5" customHeight="1" thickBot="1" x14ac:dyDescent="0.25">
      <c r="A4" s="132"/>
      <c r="B4" s="307" t="s">
        <v>143</v>
      </c>
      <c r="C4" s="308"/>
      <c r="D4" s="188" t="s">
        <v>132</v>
      </c>
      <c r="E4" s="132"/>
    </row>
    <row r="5" spans="1:8" ht="31.5" customHeight="1" thickBot="1" x14ac:dyDescent="0.25">
      <c r="A5" s="132"/>
      <c r="B5" s="307" t="s">
        <v>141</v>
      </c>
      <c r="C5" s="308"/>
      <c r="D5" s="188" t="s">
        <v>133</v>
      </c>
      <c r="E5" s="132"/>
    </row>
    <row r="6" spans="1:8" s="104" customFormat="1" ht="10.5" customHeight="1" x14ac:dyDescent="0.2">
      <c r="A6" s="191"/>
      <c r="B6" s="191"/>
      <c r="C6" s="191"/>
      <c r="D6" s="191"/>
      <c r="E6" s="191"/>
    </row>
    <row r="7" spans="1:8" s="104" customFormat="1" hidden="1" x14ac:dyDescent="0.2"/>
    <row r="8" spans="1:8" s="104" customFormat="1" hidden="1" x14ac:dyDescent="0.2"/>
    <row r="9" spans="1:8" s="104" customFormat="1" hidden="1" x14ac:dyDescent="0.2"/>
    <row r="10" spans="1:8" s="104" customFormat="1" hidden="1" x14ac:dyDescent="0.2"/>
    <row r="11" spans="1:8" s="104" customFormat="1" hidden="1" x14ac:dyDescent="0.2"/>
    <row r="12" spans="1:8" s="104" customFormat="1" hidden="1" x14ac:dyDescent="0.2"/>
    <row r="13" spans="1:8" s="104" customFormat="1" hidden="1" x14ac:dyDescent="0.2"/>
    <row r="14" spans="1:8" s="104" customFormat="1" hidden="1" x14ac:dyDescent="0.2"/>
    <row r="15" spans="1:8" s="104" customFormat="1" hidden="1" x14ac:dyDescent="0.2"/>
    <row r="16" spans="1:8" s="104" customFormat="1" hidden="1" x14ac:dyDescent="0.2"/>
    <row r="17" s="104" customFormat="1" hidden="1" x14ac:dyDescent="0.2"/>
    <row r="18" s="104" customFormat="1" hidden="1" x14ac:dyDescent="0.2"/>
    <row r="19" s="104" customFormat="1" hidden="1" x14ac:dyDescent="0.2"/>
    <row r="20" s="104" customFormat="1" hidden="1" x14ac:dyDescent="0.2"/>
    <row r="21" s="104" customFormat="1" hidden="1" x14ac:dyDescent="0.2"/>
    <row r="22" s="104" customFormat="1" hidden="1" x14ac:dyDescent="0.2"/>
    <row r="23" s="104" customFormat="1" hidden="1" x14ac:dyDescent="0.2"/>
    <row r="24" s="104" customFormat="1" hidden="1" x14ac:dyDescent="0.2"/>
    <row r="25" s="104" customFormat="1" hidden="1" x14ac:dyDescent="0.2"/>
    <row r="26" s="104" customFormat="1" hidden="1" x14ac:dyDescent="0.2"/>
    <row r="27" s="104" customFormat="1" hidden="1" x14ac:dyDescent="0.2"/>
    <row r="28" s="104" customFormat="1" hidden="1" x14ac:dyDescent="0.2"/>
    <row r="29" s="104" customFormat="1" hidden="1" x14ac:dyDescent="0.2"/>
    <row r="30" s="104" customFormat="1" hidden="1" x14ac:dyDescent="0.2"/>
    <row r="31" s="104" customFormat="1" hidden="1" x14ac:dyDescent="0.2"/>
    <row r="32" s="104" customFormat="1" hidden="1" x14ac:dyDescent="0.2"/>
    <row r="33" s="104" customFormat="1" hidden="1" x14ac:dyDescent="0.2"/>
    <row r="34" s="104" customFormat="1" hidden="1" x14ac:dyDescent="0.2"/>
    <row r="35" s="104" customFormat="1" hidden="1" x14ac:dyDescent="0.2"/>
    <row r="36" s="104" customFormat="1" hidden="1" x14ac:dyDescent="0.2"/>
    <row r="37" s="104" customFormat="1" hidden="1" x14ac:dyDescent="0.2"/>
    <row r="38" s="104" customFormat="1" hidden="1" x14ac:dyDescent="0.2"/>
    <row r="39" s="104" customFormat="1" hidden="1" x14ac:dyDescent="0.2"/>
    <row r="40" s="104" customFormat="1" hidden="1" x14ac:dyDescent="0.2"/>
    <row r="41" s="104" customFormat="1" hidden="1" x14ac:dyDescent="0.2"/>
    <row r="42" s="104" customFormat="1" hidden="1" x14ac:dyDescent="0.2"/>
    <row r="43" s="104" customFormat="1" hidden="1" x14ac:dyDescent="0.2"/>
    <row r="44" s="104" customFormat="1" hidden="1" x14ac:dyDescent="0.2"/>
    <row r="45" s="104" customFormat="1" hidden="1" x14ac:dyDescent="0.2"/>
    <row r="46" s="104" customFormat="1" hidden="1" x14ac:dyDescent="0.2"/>
    <row r="47" s="104" customFormat="1" hidden="1" x14ac:dyDescent="0.2"/>
    <row r="48" s="104" customFormat="1" hidden="1" x14ac:dyDescent="0.2"/>
    <row r="49" s="104" customFormat="1" hidden="1" x14ac:dyDescent="0.2"/>
    <row r="50" s="104" customFormat="1" hidden="1" x14ac:dyDescent="0.2"/>
    <row r="51" s="104" customFormat="1" hidden="1" x14ac:dyDescent="0.2"/>
    <row r="52" s="104" customFormat="1" hidden="1" x14ac:dyDescent="0.2"/>
    <row r="53" s="104" customFormat="1" hidden="1" x14ac:dyDescent="0.2"/>
    <row r="54" s="104" customFormat="1" hidden="1" x14ac:dyDescent="0.2"/>
    <row r="55" s="104" customFormat="1" hidden="1" x14ac:dyDescent="0.2"/>
    <row r="56" s="104" customFormat="1" hidden="1" x14ac:dyDescent="0.2"/>
    <row r="57" s="104" customFormat="1" hidden="1" x14ac:dyDescent="0.2"/>
    <row r="58" s="104" customFormat="1" hidden="1" x14ac:dyDescent="0.2"/>
  </sheetData>
  <mergeCells count="4">
    <mergeCell ref="B2:C2"/>
    <mergeCell ref="B3:C3"/>
    <mergeCell ref="B4:C4"/>
    <mergeCell ref="B5:C5"/>
  </mergeCells>
  <dataValidations count="4">
    <dataValidation type="list" allowBlank="1" showInputMessage="1" showErrorMessage="1" prompt="Note the scrollbar in the dropdown." sqref="D3" xr:uid="{00000000-0002-0000-0100-000000000000}">
      <formula1>"None,Any%,Glitchless Any%,Both Any%,Secrets%,Glitchless Secrets%,Both Secrets%,100%,Glitchless 100%,Both 100%,All"</formula1>
    </dataValidation>
    <dataValidation type="list" allowBlank="1" showInputMessage="1" showErrorMessage="1" sqref="D2" xr:uid="{00000000-0002-0000-0100-000001000000}">
      <formula1>"Yes,No"</formula1>
    </dataValidation>
    <dataValidation type="list" allowBlank="1" showInputMessage="1" showErrorMessage="1" sqref="D5" xr:uid="{5B695513-0ED0-4CCC-B10C-FCC62E630CCD}">
      <formula1>"None, Glitched, Glitchless, Both"</formula1>
    </dataValidation>
    <dataValidation type="list" allowBlank="1" showInputMessage="1" showErrorMessage="1" prompt="Unimplemented." sqref="D4" xr:uid="{DDC161C5-5AFF-4C4D-B9F9-6B47A20D8496}">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03">
    <outlinePr summaryBelow="0" summaryRight="0"/>
  </sheetPr>
  <dimension ref="A1:XFC51"/>
  <sheetViews>
    <sheetView showGridLines="0" zoomScale="70" zoomScaleNormal="70" zoomScaleSheetLayoutView="70" workbookViewId="0"/>
  </sheetViews>
  <sheetFormatPr defaultColWidth="0" defaultRowHeight="0" customHeight="1" zeroHeight="1" x14ac:dyDescent="0.25"/>
  <cols>
    <col min="1" max="1" width="2" style="1" customWidth="1"/>
    <col min="2" max="2" width="24" style="1" customWidth="1"/>
    <col min="3" max="14" width="7.28515625" style="1" customWidth="1"/>
    <col min="15" max="16" width="2" style="108" customWidth="1"/>
    <col min="17" max="17" width="24" style="1" bestFit="1" customWidth="1"/>
    <col min="18" max="29" width="7.28515625" style="1" customWidth="1"/>
    <col min="30" max="31" width="2" style="1" customWidth="1"/>
    <col min="32" max="32" width="24" style="1" bestFit="1" customWidth="1"/>
    <col min="33" max="44" width="7.28515625" style="1" customWidth="1"/>
    <col min="45" max="45" width="2" style="187" customWidth="1"/>
    <col min="46" max="46" width="0" style="1" hidden="1" customWidth="1"/>
    <col min="47" max="16383" width="0" style="1" hidden="1"/>
    <col min="16384" max="16384" width="3" style="1" hidden="1" customWidth="1"/>
  </cols>
  <sheetData>
    <row r="1" spans="1:45" ht="10.5" customHeight="1" x14ac:dyDescent="0.25">
      <c r="A1" s="166"/>
      <c r="B1" s="192"/>
      <c r="C1" s="187"/>
      <c r="D1" s="187"/>
      <c r="E1" s="187"/>
      <c r="F1" s="187"/>
      <c r="G1" s="187"/>
      <c r="H1" s="187"/>
      <c r="I1" s="187"/>
      <c r="J1" s="187"/>
      <c r="K1" s="187"/>
      <c r="L1" s="187"/>
      <c r="M1" s="187"/>
      <c r="N1" s="187"/>
      <c r="O1" s="192"/>
      <c r="P1" s="192"/>
      <c r="Q1" s="192"/>
      <c r="R1" s="187"/>
      <c r="S1" s="187"/>
      <c r="T1" s="187"/>
      <c r="U1" s="187"/>
      <c r="V1" s="187"/>
      <c r="W1" s="187"/>
      <c r="X1" s="187"/>
      <c r="Y1" s="187"/>
      <c r="Z1" s="187"/>
      <c r="AA1" s="187"/>
      <c r="AB1" s="187"/>
      <c r="AC1" s="187"/>
      <c r="AD1" s="192"/>
      <c r="AE1" s="192"/>
      <c r="AF1" s="192"/>
      <c r="AG1" s="187"/>
      <c r="AH1" s="187"/>
      <c r="AI1" s="187"/>
      <c r="AJ1" s="187"/>
      <c r="AK1" s="187"/>
      <c r="AL1" s="187"/>
      <c r="AM1" s="187"/>
      <c r="AN1" s="187"/>
      <c r="AO1" s="187"/>
      <c r="AP1" s="187"/>
      <c r="AQ1" s="187"/>
      <c r="AR1" s="187"/>
    </row>
    <row r="2" spans="1:45" ht="15.75" x14ac:dyDescent="0.25">
      <c r="A2" s="187"/>
      <c r="B2" s="326" t="s">
        <v>3</v>
      </c>
      <c r="C2" s="324"/>
      <c r="D2" s="324"/>
      <c r="E2" s="324"/>
      <c r="F2" s="324"/>
      <c r="G2" s="324"/>
      <c r="H2" s="324"/>
      <c r="I2" s="324"/>
      <c r="J2" s="324"/>
      <c r="K2" s="324"/>
      <c r="L2" s="324"/>
      <c r="M2" s="324"/>
      <c r="N2" s="325"/>
      <c r="O2" s="187"/>
      <c r="P2" s="187"/>
      <c r="Q2" s="326" t="s">
        <v>3</v>
      </c>
      <c r="R2" s="324"/>
      <c r="S2" s="324"/>
      <c r="T2" s="324"/>
      <c r="U2" s="324"/>
      <c r="V2" s="324"/>
      <c r="W2" s="324"/>
      <c r="X2" s="324"/>
      <c r="Y2" s="324"/>
      <c r="Z2" s="324"/>
      <c r="AA2" s="324"/>
      <c r="AB2" s="324"/>
      <c r="AC2" s="325"/>
      <c r="AD2" s="187"/>
      <c r="AE2" s="187"/>
      <c r="AF2" s="326" t="s">
        <v>3</v>
      </c>
      <c r="AG2" s="324"/>
      <c r="AH2" s="324"/>
      <c r="AI2" s="324"/>
      <c r="AJ2" s="324"/>
      <c r="AK2" s="324"/>
      <c r="AL2" s="324"/>
      <c r="AM2" s="324"/>
      <c r="AN2" s="324"/>
      <c r="AO2" s="324"/>
      <c r="AP2" s="324"/>
      <c r="AQ2" s="324"/>
      <c r="AR2" s="325"/>
      <c r="AS2" s="198"/>
    </row>
    <row r="3" spans="1:45" ht="15.75" x14ac:dyDescent="0.25">
      <c r="A3" s="187"/>
      <c r="B3" s="267" t="s">
        <v>8</v>
      </c>
      <c r="C3" s="327"/>
      <c r="D3" s="327"/>
      <c r="E3" s="327"/>
      <c r="F3" s="327"/>
      <c r="G3" s="327"/>
      <c r="H3" s="327"/>
      <c r="I3" s="327"/>
      <c r="J3" s="327"/>
      <c r="K3" s="327"/>
      <c r="L3" s="327"/>
      <c r="M3" s="327"/>
      <c r="N3" s="328"/>
      <c r="O3" s="187"/>
      <c r="P3" s="187"/>
      <c r="Q3" s="267" t="s">
        <v>11</v>
      </c>
      <c r="R3" s="327"/>
      <c r="S3" s="327"/>
      <c r="T3" s="327"/>
      <c r="U3" s="327"/>
      <c r="V3" s="327"/>
      <c r="W3" s="327"/>
      <c r="X3" s="327"/>
      <c r="Y3" s="327"/>
      <c r="Z3" s="327"/>
      <c r="AA3" s="327"/>
      <c r="AB3" s="327"/>
      <c r="AC3" s="328"/>
      <c r="AD3" s="187"/>
      <c r="AE3" s="187"/>
      <c r="AF3" s="267" t="s">
        <v>12</v>
      </c>
      <c r="AG3" s="327"/>
      <c r="AH3" s="327"/>
      <c r="AI3" s="327"/>
      <c r="AJ3" s="327"/>
      <c r="AK3" s="327"/>
      <c r="AL3" s="327"/>
      <c r="AM3" s="327"/>
      <c r="AN3" s="327"/>
      <c r="AO3" s="327"/>
      <c r="AP3" s="327"/>
      <c r="AQ3" s="327"/>
      <c r="AR3" s="328"/>
      <c r="AS3" s="198"/>
    </row>
    <row r="4" spans="1:45" ht="15.75" x14ac:dyDescent="0.25">
      <c r="A4" s="187"/>
      <c r="B4" s="329" t="s">
        <v>14</v>
      </c>
      <c r="C4" s="327"/>
      <c r="D4" s="327"/>
      <c r="E4" s="327"/>
      <c r="F4" s="327"/>
      <c r="G4" s="327"/>
      <c r="H4" s="327"/>
      <c r="I4" s="327"/>
      <c r="J4" s="327"/>
      <c r="K4" s="327"/>
      <c r="L4" s="327"/>
      <c r="M4" s="327"/>
      <c r="N4" s="328"/>
      <c r="O4" s="187"/>
      <c r="P4" s="187"/>
      <c r="Q4" s="329" t="s">
        <v>14</v>
      </c>
      <c r="R4" s="327"/>
      <c r="S4" s="327"/>
      <c r="T4" s="327"/>
      <c r="U4" s="327"/>
      <c r="V4" s="327"/>
      <c r="W4" s="327"/>
      <c r="X4" s="327"/>
      <c r="Y4" s="327"/>
      <c r="Z4" s="327"/>
      <c r="AA4" s="327"/>
      <c r="AB4" s="327"/>
      <c r="AC4" s="328"/>
      <c r="AD4" s="187"/>
      <c r="AE4" s="187"/>
      <c r="AF4" s="329" t="s">
        <v>14</v>
      </c>
      <c r="AG4" s="327"/>
      <c r="AH4" s="327"/>
      <c r="AI4" s="327"/>
      <c r="AJ4" s="327"/>
      <c r="AK4" s="327"/>
      <c r="AL4" s="327"/>
      <c r="AM4" s="327"/>
      <c r="AN4" s="327"/>
      <c r="AO4" s="327"/>
      <c r="AP4" s="327"/>
      <c r="AQ4" s="327"/>
      <c r="AR4" s="328"/>
      <c r="AS4" s="198"/>
    </row>
    <row r="5" spans="1:45" ht="15.75" x14ac:dyDescent="0.25">
      <c r="A5" s="187"/>
      <c r="B5" s="323" t="s">
        <v>121</v>
      </c>
      <c r="C5" s="324"/>
      <c r="D5" s="324"/>
      <c r="E5" s="324"/>
      <c r="F5" s="324"/>
      <c r="G5" s="324"/>
      <c r="H5" s="324"/>
      <c r="I5" s="324"/>
      <c r="J5" s="324"/>
      <c r="K5" s="324"/>
      <c r="L5" s="324"/>
      <c r="M5" s="324"/>
      <c r="N5" s="325"/>
      <c r="O5" s="187"/>
      <c r="P5" s="187"/>
      <c r="Q5" s="323" t="s">
        <v>121</v>
      </c>
      <c r="R5" s="324"/>
      <c r="S5" s="324"/>
      <c r="T5" s="324"/>
      <c r="U5" s="324"/>
      <c r="V5" s="324"/>
      <c r="W5" s="324"/>
      <c r="X5" s="324"/>
      <c r="Y5" s="324"/>
      <c r="Z5" s="324"/>
      <c r="AA5" s="324"/>
      <c r="AB5" s="324"/>
      <c r="AC5" s="325"/>
      <c r="AD5" s="187"/>
      <c r="AE5" s="187"/>
      <c r="AF5" s="323" t="s">
        <v>121</v>
      </c>
      <c r="AG5" s="324"/>
      <c r="AH5" s="324"/>
      <c r="AI5" s="324"/>
      <c r="AJ5" s="324"/>
      <c r="AK5" s="324"/>
      <c r="AL5" s="324"/>
      <c r="AM5" s="324"/>
      <c r="AN5" s="324"/>
      <c r="AO5" s="324"/>
      <c r="AP5" s="324"/>
      <c r="AQ5" s="324"/>
      <c r="AR5" s="325"/>
      <c r="AS5" s="198"/>
    </row>
    <row r="6" spans="1:45" ht="10.5" customHeight="1" x14ac:dyDescent="0.25">
      <c r="A6" s="187"/>
      <c r="B6" s="195"/>
      <c r="C6" s="195"/>
      <c r="D6" s="195"/>
      <c r="E6" s="195"/>
      <c r="F6" s="195"/>
      <c r="G6" s="195"/>
      <c r="H6" s="195"/>
      <c r="I6" s="195"/>
      <c r="J6" s="195"/>
      <c r="K6" s="195"/>
      <c r="L6" s="195"/>
      <c r="M6" s="195"/>
      <c r="N6" s="195"/>
      <c r="O6" s="187"/>
      <c r="P6" s="187"/>
      <c r="Q6" s="192"/>
      <c r="R6" s="187"/>
      <c r="S6" s="187"/>
      <c r="T6" s="187"/>
      <c r="U6" s="187"/>
      <c r="V6" s="187"/>
      <c r="W6" s="187"/>
      <c r="X6" s="187"/>
      <c r="Y6" s="187"/>
      <c r="Z6" s="187"/>
      <c r="AA6" s="187"/>
      <c r="AB6" s="187"/>
      <c r="AC6" s="187"/>
      <c r="AD6" s="187"/>
      <c r="AE6" s="187"/>
      <c r="AF6" s="195"/>
      <c r="AG6" s="195"/>
      <c r="AH6" s="195"/>
      <c r="AI6" s="195"/>
      <c r="AJ6" s="195"/>
      <c r="AK6" s="195"/>
      <c r="AL6" s="195"/>
      <c r="AM6" s="195"/>
      <c r="AN6" s="195"/>
      <c r="AO6" s="195"/>
      <c r="AP6" s="195"/>
      <c r="AQ6" s="195"/>
      <c r="AR6" s="195"/>
      <c r="AS6" s="166"/>
    </row>
    <row r="7" spans="1:45" ht="15.75" x14ac:dyDescent="0.25">
      <c r="A7" s="187"/>
      <c r="B7" s="318" t="s">
        <v>21</v>
      </c>
      <c r="C7" s="319"/>
      <c r="D7" s="319"/>
      <c r="E7" s="319"/>
      <c r="F7" s="319"/>
      <c r="G7" s="319"/>
      <c r="H7" s="319"/>
      <c r="I7" s="319"/>
      <c r="J7" s="319"/>
      <c r="K7" s="319"/>
      <c r="L7" s="319"/>
      <c r="M7" s="319"/>
      <c r="N7" s="320"/>
      <c r="O7" s="187"/>
      <c r="P7" s="187"/>
      <c r="Q7" s="318" t="s">
        <v>23</v>
      </c>
      <c r="R7" s="319"/>
      <c r="S7" s="319"/>
      <c r="T7" s="319"/>
      <c r="U7" s="319"/>
      <c r="V7" s="319"/>
      <c r="W7" s="319"/>
      <c r="X7" s="319"/>
      <c r="Y7" s="319"/>
      <c r="Z7" s="319"/>
      <c r="AA7" s="319"/>
      <c r="AB7" s="319"/>
      <c r="AC7" s="320"/>
      <c r="AD7" s="187"/>
      <c r="AE7" s="187"/>
      <c r="AF7" s="318" t="s">
        <v>24</v>
      </c>
      <c r="AG7" s="319"/>
      <c r="AH7" s="319"/>
      <c r="AI7" s="319"/>
      <c r="AJ7" s="319"/>
      <c r="AK7" s="319"/>
      <c r="AL7" s="319"/>
      <c r="AM7" s="319"/>
      <c r="AN7" s="319"/>
      <c r="AO7" s="319"/>
      <c r="AP7" s="319"/>
      <c r="AQ7" s="319"/>
      <c r="AR7" s="320"/>
      <c r="AS7" s="198"/>
    </row>
    <row r="8" spans="1:45" ht="15.75" x14ac:dyDescent="0.25">
      <c r="A8" s="187"/>
      <c r="B8" s="321" t="s">
        <v>7</v>
      </c>
      <c r="C8" s="315" t="s">
        <v>28</v>
      </c>
      <c r="D8" s="316"/>
      <c r="E8" s="316"/>
      <c r="F8" s="316"/>
      <c r="G8" s="316"/>
      <c r="H8" s="317"/>
      <c r="I8" s="315" t="s">
        <v>29</v>
      </c>
      <c r="J8" s="316"/>
      <c r="K8" s="316"/>
      <c r="L8" s="316"/>
      <c r="M8" s="316"/>
      <c r="N8" s="317"/>
      <c r="O8" s="187"/>
      <c r="P8" s="187"/>
      <c r="Q8" s="321" t="s">
        <v>7</v>
      </c>
      <c r="R8" s="315" t="s">
        <v>28</v>
      </c>
      <c r="S8" s="316"/>
      <c r="T8" s="316"/>
      <c r="U8" s="316"/>
      <c r="V8" s="316"/>
      <c r="W8" s="317"/>
      <c r="X8" s="315" t="s">
        <v>29</v>
      </c>
      <c r="Y8" s="316"/>
      <c r="Z8" s="316"/>
      <c r="AA8" s="316"/>
      <c r="AB8" s="316"/>
      <c r="AC8" s="317"/>
      <c r="AD8" s="187"/>
      <c r="AE8" s="187"/>
      <c r="AF8" s="321" t="s">
        <v>7</v>
      </c>
      <c r="AG8" s="315" t="s">
        <v>28</v>
      </c>
      <c r="AH8" s="316"/>
      <c r="AI8" s="316"/>
      <c r="AJ8" s="316"/>
      <c r="AK8" s="316"/>
      <c r="AL8" s="317"/>
      <c r="AM8" s="315" t="s">
        <v>29</v>
      </c>
      <c r="AN8" s="316"/>
      <c r="AO8" s="316"/>
      <c r="AP8" s="316"/>
      <c r="AQ8" s="316"/>
      <c r="AR8" s="317"/>
      <c r="AS8" s="198"/>
    </row>
    <row r="9" spans="1:45" ht="15.75" x14ac:dyDescent="0.25">
      <c r="A9" s="187"/>
      <c r="B9" s="322"/>
      <c r="C9" s="335" t="s">
        <v>31</v>
      </c>
      <c r="D9" s="333"/>
      <c r="E9" s="313" t="s">
        <v>34</v>
      </c>
      <c r="F9" s="314"/>
      <c r="G9" s="332" t="s">
        <v>36</v>
      </c>
      <c r="H9" s="333"/>
      <c r="I9" s="335" t="s">
        <v>31</v>
      </c>
      <c r="J9" s="333"/>
      <c r="K9" s="313" t="s">
        <v>34</v>
      </c>
      <c r="L9" s="314"/>
      <c r="M9" s="332" t="s">
        <v>36</v>
      </c>
      <c r="N9" s="334"/>
      <c r="O9" s="187"/>
      <c r="P9" s="187"/>
      <c r="Q9" s="322"/>
      <c r="R9" s="311" t="s">
        <v>31</v>
      </c>
      <c r="S9" s="312"/>
      <c r="T9" s="313" t="s">
        <v>34</v>
      </c>
      <c r="U9" s="314"/>
      <c r="V9" s="309" t="s">
        <v>36</v>
      </c>
      <c r="W9" s="312"/>
      <c r="X9" s="311" t="s">
        <v>31</v>
      </c>
      <c r="Y9" s="312"/>
      <c r="Z9" s="313" t="s">
        <v>34</v>
      </c>
      <c r="AA9" s="314"/>
      <c r="AB9" s="309" t="s">
        <v>36</v>
      </c>
      <c r="AC9" s="310"/>
      <c r="AD9" s="187"/>
      <c r="AE9" s="187"/>
      <c r="AF9" s="322"/>
      <c r="AG9" s="311" t="s">
        <v>31</v>
      </c>
      <c r="AH9" s="312"/>
      <c r="AI9" s="313" t="s">
        <v>34</v>
      </c>
      <c r="AJ9" s="314"/>
      <c r="AK9" s="309" t="s">
        <v>36</v>
      </c>
      <c r="AL9" s="312"/>
      <c r="AM9" s="311" t="s">
        <v>31</v>
      </c>
      <c r="AN9" s="312"/>
      <c r="AO9" s="313" t="s">
        <v>34</v>
      </c>
      <c r="AP9" s="314"/>
      <c r="AQ9" s="309" t="s">
        <v>36</v>
      </c>
      <c r="AR9" s="310"/>
      <c r="AS9" s="198"/>
    </row>
    <row r="10" spans="1:45" ht="15.75" x14ac:dyDescent="0.25">
      <c r="A10" s="187"/>
      <c r="B10" s="3" t="s">
        <v>39</v>
      </c>
      <c r="C10" s="9">
        <v>1</v>
      </c>
      <c r="D10" s="10">
        <v>1</v>
      </c>
      <c r="E10" s="238">
        <v>0</v>
      </c>
      <c r="F10" s="239">
        <v>0</v>
      </c>
      <c r="G10" s="238">
        <v>0</v>
      </c>
      <c r="H10" s="240">
        <v>0</v>
      </c>
      <c r="I10" s="11">
        <v>1</v>
      </c>
      <c r="J10" s="10">
        <v>1</v>
      </c>
      <c r="K10" s="11">
        <v>0</v>
      </c>
      <c r="L10" s="10">
        <v>0</v>
      </c>
      <c r="M10" s="11">
        <v>1</v>
      </c>
      <c r="N10" s="12">
        <v>1</v>
      </c>
      <c r="O10" s="187"/>
      <c r="P10" s="187"/>
      <c r="Q10" s="3" t="s">
        <v>39</v>
      </c>
      <c r="R10" s="9">
        <v>1</v>
      </c>
      <c r="S10" s="10">
        <v>1</v>
      </c>
      <c r="T10" s="238">
        <v>0</v>
      </c>
      <c r="U10" s="239">
        <v>0</v>
      </c>
      <c r="V10" s="238">
        <v>1</v>
      </c>
      <c r="W10" s="240">
        <v>1</v>
      </c>
      <c r="X10" s="11">
        <v>1</v>
      </c>
      <c r="Y10" s="10">
        <v>1</v>
      </c>
      <c r="Z10" s="11">
        <v>0</v>
      </c>
      <c r="AA10" s="10">
        <v>0</v>
      </c>
      <c r="AB10" s="11">
        <v>1</v>
      </c>
      <c r="AC10" s="12">
        <v>1</v>
      </c>
      <c r="AD10" s="187"/>
      <c r="AE10" s="187"/>
      <c r="AF10" s="3" t="s">
        <v>39</v>
      </c>
      <c r="AG10" s="9">
        <v>1</v>
      </c>
      <c r="AH10" s="10">
        <v>1</v>
      </c>
      <c r="AI10" s="238">
        <v>0</v>
      </c>
      <c r="AJ10" s="239">
        <v>0</v>
      </c>
      <c r="AK10" s="11">
        <v>2</v>
      </c>
      <c r="AL10" s="12">
        <v>2</v>
      </c>
      <c r="AM10" s="11">
        <v>1</v>
      </c>
      <c r="AN10" s="10">
        <v>1</v>
      </c>
      <c r="AO10" s="238">
        <v>0</v>
      </c>
      <c r="AP10" s="239">
        <v>0</v>
      </c>
      <c r="AQ10" s="11">
        <v>1</v>
      </c>
      <c r="AR10" s="12">
        <v>1</v>
      </c>
      <c r="AS10" s="6"/>
    </row>
    <row r="11" spans="1:45" ht="15.75" x14ac:dyDescent="0.25">
      <c r="A11" s="187"/>
      <c r="B11" s="3" t="s">
        <v>40</v>
      </c>
      <c r="C11" s="13">
        <f t="shared" ref="C11:D11" si="0">C10-E10+G10</f>
        <v>1</v>
      </c>
      <c r="D11" s="8">
        <f t="shared" si="0"/>
        <v>1</v>
      </c>
      <c r="E11" s="241">
        <v>0</v>
      </c>
      <c r="F11" s="242">
        <v>0</v>
      </c>
      <c r="G11" s="241">
        <v>0</v>
      </c>
      <c r="H11" s="243">
        <v>0</v>
      </c>
      <c r="I11" s="7">
        <f t="shared" ref="I11:J11" si="1">I10-K10+M10</f>
        <v>2</v>
      </c>
      <c r="J11" s="8">
        <f t="shared" si="1"/>
        <v>2</v>
      </c>
      <c r="K11" s="7">
        <v>0</v>
      </c>
      <c r="L11" s="8">
        <v>0</v>
      </c>
      <c r="M11" s="7">
        <v>0</v>
      </c>
      <c r="N11" s="14">
        <v>0</v>
      </c>
      <c r="O11" s="187"/>
      <c r="P11" s="187"/>
      <c r="Q11" s="3" t="s">
        <v>40</v>
      </c>
      <c r="R11" s="13">
        <f t="shared" ref="R11:S11" si="2">R10-T10+V10</f>
        <v>2</v>
      </c>
      <c r="S11" s="8">
        <f t="shared" si="2"/>
        <v>2</v>
      </c>
      <c r="T11" s="241">
        <v>0</v>
      </c>
      <c r="U11" s="242">
        <v>0</v>
      </c>
      <c r="V11" s="241">
        <v>0</v>
      </c>
      <c r="W11" s="243">
        <v>0</v>
      </c>
      <c r="X11" s="7">
        <f t="shared" ref="X11:Y11" si="3">X10-Z10+AB10</f>
        <v>2</v>
      </c>
      <c r="Y11" s="8">
        <f t="shared" si="3"/>
        <v>2</v>
      </c>
      <c r="Z11" s="7">
        <v>0</v>
      </c>
      <c r="AA11" s="8">
        <v>0</v>
      </c>
      <c r="AB11" s="7">
        <v>0</v>
      </c>
      <c r="AC11" s="14">
        <v>0</v>
      </c>
      <c r="AD11" s="187"/>
      <c r="AE11" s="187"/>
      <c r="AF11" s="3" t="s">
        <v>40</v>
      </c>
      <c r="AG11" s="13">
        <f t="shared" ref="AG11:AH11" si="4">AG10-AI10+AK10</f>
        <v>3</v>
      </c>
      <c r="AH11" s="8">
        <f t="shared" si="4"/>
        <v>3</v>
      </c>
      <c r="AI11" s="241">
        <v>0</v>
      </c>
      <c r="AJ11" s="242">
        <v>0</v>
      </c>
      <c r="AK11" s="7">
        <v>4</v>
      </c>
      <c r="AL11" s="14">
        <v>4</v>
      </c>
      <c r="AM11" s="7">
        <f t="shared" ref="AM11:AN11" si="5">AM10-AO10+AQ10</f>
        <v>2</v>
      </c>
      <c r="AN11" s="8">
        <f t="shared" si="5"/>
        <v>2</v>
      </c>
      <c r="AO11" s="241">
        <v>0</v>
      </c>
      <c r="AP11" s="242">
        <v>0</v>
      </c>
      <c r="AQ11" s="7">
        <v>2</v>
      </c>
      <c r="AR11" s="14">
        <v>2</v>
      </c>
      <c r="AS11" s="6"/>
    </row>
    <row r="12" spans="1:45" ht="15.75" x14ac:dyDescent="0.25">
      <c r="A12" s="187"/>
      <c r="B12" s="3" t="s">
        <v>57</v>
      </c>
      <c r="C12" s="15">
        <f t="shared" ref="C12:D12" si="6">C11-E11+G11</f>
        <v>1</v>
      </c>
      <c r="D12" s="6">
        <f t="shared" si="6"/>
        <v>1</v>
      </c>
      <c r="E12" s="244">
        <v>1</v>
      </c>
      <c r="F12" s="245">
        <v>1</v>
      </c>
      <c r="G12" s="244">
        <v>1</v>
      </c>
      <c r="H12" s="246">
        <v>1</v>
      </c>
      <c r="I12" s="5">
        <f t="shared" ref="I12:J12" si="7">I11-K11+M11</f>
        <v>2</v>
      </c>
      <c r="J12" s="6">
        <f t="shared" si="7"/>
        <v>2</v>
      </c>
      <c r="K12" s="5">
        <v>0</v>
      </c>
      <c r="L12" s="6">
        <v>0</v>
      </c>
      <c r="M12" s="5">
        <v>1</v>
      </c>
      <c r="N12" s="16">
        <v>1</v>
      </c>
      <c r="O12" s="187"/>
      <c r="P12" s="187"/>
      <c r="Q12" s="3" t="s">
        <v>57</v>
      </c>
      <c r="R12" s="15">
        <f t="shared" ref="R12:S12" si="8">R11-T11+V11</f>
        <v>2</v>
      </c>
      <c r="S12" s="6">
        <f t="shared" si="8"/>
        <v>2</v>
      </c>
      <c r="T12" s="244">
        <v>1</v>
      </c>
      <c r="U12" s="245">
        <v>1</v>
      </c>
      <c r="V12" s="244">
        <v>1</v>
      </c>
      <c r="W12" s="246">
        <v>1</v>
      </c>
      <c r="X12" s="5">
        <f t="shared" ref="X12:Y12" si="9">X11-Z11+AB11</f>
        <v>2</v>
      </c>
      <c r="Y12" s="6">
        <f t="shared" si="9"/>
        <v>2</v>
      </c>
      <c r="Z12" s="5">
        <v>0</v>
      </c>
      <c r="AA12" s="6">
        <v>0</v>
      </c>
      <c r="AB12" s="5">
        <v>1</v>
      </c>
      <c r="AC12" s="16">
        <v>1</v>
      </c>
      <c r="AD12" s="187"/>
      <c r="AE12" s="187"/>
      <c r="AF12" s="3" t="s">
        <v>57</v>
      </c>
      <c r="AG12" s="15">
        <f t="shared" ref="AG12:AH12" si="10">AG11-AI11+AK11</f>
        <v>7</v>
      </c>
      <c r="AH12" s="6">
        <f t="shared" si="10"/>
        <v>7</v>
      </c>
      <c r="AI12" s="244">
        <v>1</v>
      </c>
      <c r="AJ12" s="245">
        <v>1</v>
      </c>
      <c r="AK12" s="5">
        <v>4</v>
      </c>
      <c r="AL12" s="16">
        <v>4</v>
      </c>
      <c r="AM12" s="5">
        <f t="shared" ref="AM12:AN12" si="11">AM11-AO11+AQ11</f>
        <v>4</v>
      </c>
      <c r="AN12" s="6">
        <f t="shared" si="11"/>
        <v>4</v>
      </c>
      <c r="AO12" s="244">
        <v>0</v>
      </c>
      <c r="AP12" s="245">
        <v>0</v>
      </c>
      <c r="AQ12" s="5">
        <v>2</v>
      </c>
      <c r="AR12" s="16">
        <v>2</v>
      </c>
      <c r="AS12" s="6"/>
    </row>
    <row r="13" spans="1:45" ht="15.75" x14ac:dyDescent="0.25">
      <c r="A13" s="187"/>
      <c r="B13" s="3" t="s">
        <v>59</v>
      </c>
      <c r="C13" s="13">
        <f t="shared" ref="C13:D13" si="12">C12-E12+G12</f>
        <v>1</v>
      </c>
      <c r="D13" s="8">
        <f t="shared" si="12"/>
        <v>1</v>
      </c>
      <c r="E13" s="241">
        <v>0</v>
      </c>
      <c r="F13" s="242">
        <v>1</v>
      </c>
      <c r="G13" s="241">
        <v>0</v>
      </c>
      <c r="H13" s="243">
        <v>0</v>
      </c>
      <c r="I13" s="7">
        <f t="shared" ref="I13:J13" si="13">I12-K12+M12</f>
        <v>3</v>
      </c>
      <c r="J13" s="8">
        <f t="shared" si="13"/>
        <v>3</v>
      </c>
      <c r="K13" s="7">
        <v>0</v>
      </c>
      <c r="L13" s="8">
        <v>0</v>
      </c>
      <c r="M13" s="7">
        <v>0</v>
      </c>
      <c r="N13" s="14">
        <v>0</v>
      </c>
      <c r="O13" s="187"/>
      <c r="P13" s="187"/>
      <c r="Q13" s="3" t="s">
        <v>59</v>
      </c>
      <c r="R13" s="13">
        <f t="shared" ref="R13:S13" si="14">R12-T12+V12</f>
        <v>2</v>
      </c>
      <c r="S13" s="8">
        <f t="shared" si="14"/>
        <v>2</v>
      </c>
      <c r="T13" s="241">
        <v>0</v>
      </c>
      <c r="U13" s="242">
        <v>1</v>
      </c>
      <c r="V13" s="241">
        <v>0</v>
      </c>
      <c r="W13" s="243">
        <v>0</v>
      </c>
      <c r="X13" s="7">
        <f t="shared" ref="X13:Y13" si="15">X12-Z12+AB12</f>
        <v>3</v>
      </c>
      <c r="Y13" s="8">
        <f t="shared" si="15"/>
        <v>3</v>
      </c>
      <c r="Z13" s="7">
        <v>0</v>
      </c>
      <c r="AA13" s="8">
        <v>0</v>
      </c>
      <c r="AB13" s="7">
        <v>0</v>
      </c>
      <c r="AC13" s="14">
        <v>0</v>
      </c>
      <c r="AD13" s="187"/>
      <c r="AE13" s="187"/>
      <c r="AF13" s="3" t="s">
        <v>59</v>
      </c>
      <c r="AG13" s="13">
        <f t="shared" ref="AG13:AH13" si="16">AG12-AI12+AK12</f>
        <v>10</v>
      </c>
      <c r="AH13" s="8">
        <f t="shared" si="16"/>
        <v>10</v>
      </c>
      <c r="AI13" s="241">
        <v>0</v>
      </c>
      <c r="AJ13" s="242">
        <v>1</v>
      </c>
      <c r="AK13" s="7">
        <v>5</v>
      </c>
      <c r="AL13" s="14">
        <v>5</v>
      </c>
      <c r="AM13" s="7">
        <f t="shared" ref="AM13:AN13" si="17">AM12-AO12+AQ12</f>
        <v>6</v>
      </c>
      <c r="AN13" s="8">
        <f t="shared" si="17"/>
        <v>6</v>
      </c>
      <c r="AO13" s="241">
        <v>0</v>
      </c>
      <c r="AP13" s="242">
        <v>0</v>
      </c>
      <c r="AQ13" s="7">
        <v>3</v>
      </c>
      <c r="AR13" s="14">
        <v>3</v>
      </c>
      <c r="AS13" s="6"/>
    </row>
    <row r="14" spans="1:45" ht="15.75" x14ac:dyDescent="0.25">
      <c r="A14" s="187"/>
      <c r="B14" s="3" t="s">
        <v>61</v>
      </c>
      <c r="C14" s="15">
        <f t="shared" ref="C14:D14" si="18">C13-E13+G13</f>
        <v>1</v>
      </c>
      <c r="D14" s="6">
        <f t="shared" si="18"/>
        <v>0</v>
      </c>
      <c r="E14" s="244">
        <v>0</v>
      </c>
      <c r="F14" s="245">
        <v>0</v>
      </c>
      <c r="G14" s="244">
        <v>0</v>
      </c>
      <c r="H14" s="246">
        <v>0</v>
      </c>
      <c r="I14" s="5">
        <f t="shared" ref="I14:J14" si="19">I13-K13+M13</f>
        <v>3</v>
      </c>
      <c r="J14" s="6">
        <f t="shared" si="19"/>
        <v>3</v>
      </c>
      <c r="K14" s="5">
        <v>0</v>
      </c>
      <c r="L14" s="6">
        <v>1</v>
      </c>
      <c r="M14" s="5">
        <v>1</v>
      </c>
      <c r="N14" s="16">
        <v>1</v>
      </c>
      <c r="O14" s="187"/>
      <c r="P14" s="187"/>
      <c r="Q14" s="3" t="s">
        <v>61</v>
      </c>
      <c r="R14" s="15">
        <f t="shared" ref="R14:S14" si="20">R13-T13+V13</f>
        <v>2</v>
      </c>
      <c r="S14" s="6">
        <f t="shared" si="20"/>
        <v>1</v>
      </c>
      <c r="T14" s="244">
        <v>0</v>
      </c>
      <c r="U14" s="245">
        <v>0</v>
      </c>
      <c r="V14" s="244">
        <v>0</v>
      </c>
      <c r="W14" s="246">
        <v>0</v>
      </c>
      <c r="X14" s="5">
        <f t="shared" ref="X14:Y14" si="21">X13-Z13+AB13</f>
        <v>3</v>
      </c>
      <c r="Y14" s="6">
        <f t="shared" si="21"/>
        <v>3</v>
      </c>
      <c r="Z14" s="5">
        <v>0</v>
      </c>
      <c r="AA14" s="6">
        <v>1</v>
      </c>
      <c r="AB14" s="5">
        <v>1</v>
      </c>
      <c r="AC14" s="16">
        <v>1</v>
      </c>
      <c r="AD14" s="187"/>
      <c r="AE14" s="187"/>
      <c r="AF14" s="3" t="s">
        <v>61</v>
      </c>
      <c r="AG14" s="15">
        <f t="shared" ref="AG14:AH14" si="22">AG13-AI13+AK13</f>
        <v>15</v>
      </c>
      <c r="AH14" s="6">
        <f t="shared" si="22"/>
        <v>14</v>
      </c>
      <c r="AI14" s="244">
        <v>0</v>
      </c>
      <c r="AJ14" s="245">
        <v>0</v>
      </c>
      <c r="AK14" s="5">
        <v>4</v>
      </c>
      <c r="AL14" s="16">
        <v>4</v>
      </c>
      <c r="AM14" s="5">
        <f t="shared" ref="AM14:AN14" si="23">AM13-AO13+AQ13</f>
        <v>9</v>
      </c>
      <c r="AN14" s="6">
        <f t="shared" si="23"/>
        <v>9</v>
      </c>
      <c r="AO14" s="244">
        <v>0</v>
      </c>
      <c r="AP14" s="245">
        <v>1</v>
      </c>
      <c r="AQ14" s="5">
        <v>3</v>
      </c>
      <c r="AR14" s="16">
        <v>3</v>
      </c>
      <c r="AS14" s="6"/>
    </row>
    <row r="15" spans="1:45" ht="15.75" x14ac:dyDescent="0.25">
      <c r="A15" s="187"/>
      <c r="B15" s="3" t="s">
        <v>63</v>
      </c>
      <c r="C15" s="13">
        <f t="shared" ref="C15:D15" si="24">C14-E14+G14</f>
        <v>1</v>
      </c>
      <c r="D15" s="8">
        <f t="shared" si="24"/>
        <v>0</v>
      </c>
      <c r="E15" s="241">
        <v>0</v>
      </c>
      <c r="F15" s="242">
        <v>0</v>
      </c>
      <c r="G15" s="241">
        <v>0</v>
      </c>
      <c r="H15" s="243">
        <v>0</v>
      </c>
      <c r="I15" s="7">
        <f t="shared" ref="I15:J15" si="25">I14-K14+M14</f>
        <v>4</v>
      </c>
      <c r="J15" s="8">
        <f t="shared" si="25"/>
        <v>3</v>
      </c>
      <c r="K15" s="7">
        <v>0</v>
      </c>
      <c r="L15" s="8">
        <v>1</v>
      </c>
      <c r="M15" s="7">
        <v>1</v>
      </c>
      <c r="N15" s="14">
        <v>1</v>
      </c>
      <c r="O15" s="187"/>
      <c r="P15" s="187"/>
      <c r="Q15" s="3" t="s">
        <v>63</v>
      </c>
      <c r="R15" s="13">
        <f t="shared" ref="R15:S15" si="26">R14-T14+V14</f>
        <v>2</v>
      </c>
      <c r="S15" s="8">
        <f t="shared" si="26"/>
        <v>1</v>
      </c>
      <c r="T15" s="241">
        <v>0</v>
      </c>
      <c r="U15" s="242">
        <v>0</v>
      </c>
      <c r="V15" s="241">
        <v>0</v>
      </c>
      <c r="W15" s="243">
        <v>0</v>
      </c>
      <c r="X15" s="7">
        <f t="shared" ref="X15:Y15" si="27">X14-Z14+AB14</f>
        <v>4</v>
      </c>
      <c r="Y15" s="8">
        <f t="shared" si="27"/>
        <v>3</v>
      </c>
      <c r="Z15" s="7">
        <v>0</v>
      </c>
      <c r="AA15" s="8">
        <v>1</v>
      </c>
      <c r="AB15" s="7">
        <v>1</v>
      </c>
      <c r="AC15" s="14">
        <v>1</v>
      </c>
      <c r="AD15" s="187"/>
      <c r="AE15" s="187"/>
      <c r="AF15" s="3" t="s">
        <v>63</v>
      </c>
      <c r="AG15" s="13">
        <f t="shared" ref="AG15:AH15" si="28">AG14-AI14+AK14</f>
        <v>19</v>
      </c>
      <c r="AH15" s="8">
        <f t="shared" si="28"/>
        <v>18</v>
      </c>
      <c r="AI15" s="241">
        <v>0</v>
      </c>
      <c r="AJ15" s="242">
        <v>0</v>
      </c>
      <c r="AK15" s="7">
        <v>4</v>
      </c>
      <c r="AL15" s="14">
        <v>4</v>
      </c>
      <c r="AM15" s="7">
        <f t="shared" ref="AM15:AN15" si="29">AM14-AO14+AQ14</f>
        <v>12</v>
      </c>
      <c r="AN15" s="8">
        <f t="shared" si="29"/>
        <v>11</v>
      </c>
      <c r="AO15" s="241">
        <v>0</v>
      </c>
      <c r="AP15" s="242">
        <v>1</v>
      </c>
      <c r="AQ15" s="7">
        <v>2</v>
      </c>
      <c r="AR15" s="14">
        <v>2</v>
      </c>
      <c r="AS15" s="6"/>
    </row>
    <row r="16" spans="1:45" ht="15.75" x14ac:dyDescent="0.25">
      <c r="A16" s="187"/>
      <c r="B16" s="3" t="s">
        <v>66</v>
      </c>
      <c r="C16" s="15">
        <f t="shared" ref="C16:D16" si="30">C15-E15+G15</f>
        <v>1</v>
      </c>
      <c r="D16" s="6">
        <f t="shared" si="30"/>
        <v>0</v>
      </c>
      <c r="E16" s="244">
        <v>1</v>
      </c>
      <c r="F16" s="245">
        <v>0</v>
      </c>
      <c r="G16" s="244">
        <v>0</v>
      </c>
      <c r="H16" s="246">
        <v>0</v>
      </c>
      <c r="I16" s="5">
        <f t="shared" ref="I16:J16" si="31">I15-K15+M15</f>
        <v>5</v>
      </c>
      <c r="J16" s="6">
        <f t="shared" si="31"/>
        <v>3</v>
      </c>
      <c r="K16" s="5">
        <v>1</v>
      </c>
      <c r="L16" s="6">
        <v>2</v>
      </c>
      <c r="M16" s="5">
        <v>0</v>
      </c>
      <c r="N16" s="16">
        <v>0</v>
      </c>
      <c r="O16" s="187"/>
      <c r="P16" s="187"/>
      <c r="Q16" s="3" t="s">
        <v>66</v>
      </c>
      <c r="R16" s="15">
        <f t="shared" ref="R16:S16" si="32">R15-T15+V15</f>
        <v>2</v>
      </c>
      <c r="S16" s="6">
        <f t="shared" si="32"/>
        <v>1</v>
      </c>
      <c r="T16" s="244">
        <v>1</v>
      </c>
      <c r="U16" s="245">
        <v>0</v>
      </c>
      <c r="V16" s="244">
        <v>0</v>
      </c>
      <c r="W16" s="246">
        <v>0</v>
      </c>
      <c r="X16" s="5">
        <f t="shared" ref="X16:Y16" si="33">X15-Z15+AB15</f>
        <v>5</v>
      </c>
      <c r="Y16" s="6">
        <f t="shared" si="33"/>
        <v>3</v>
      </c>
      <c r="Z16" s="5">
        <v>1</v>
      </c>
      <c r="AA16" s="6">
        <v>2</v>
      </c>
      <c r="AB16" s="5">
        <v>0</v>
      </c>
      <c r="AC16" s="16">
        <v>0</v>
      </c>
      <c r="AD16" s="187"/>
      <c r="AE16" s="187"/>
      <c r="AF16" s="3" t="s">
        <v>66</v>
      </c>
      <c r="AG16" s="15">
        <f t="shared" ref="AG16:AH16" si="34">AG15-AI15+AK15</f>
        <v>23</v>
      </c>
      <c r="AH16" s="6">
        <f t="shared" si="34"/>
        <v>22</v>
      </c>
      <c r="AI16" s="244">
        <v>1</v>
      </c>
      <c r="AJ16" s="245">
        <v>0</v>
      </c>
      <c r="AK16" s="5">
        <v>1</v>
      </c>
      <c r="AL16" s="16">
        <v>1</v>
      </c>
      <c r="AM16" s="5">
        <f t="shared" ref="AM16:AN16" si="35">AM15-AO15+AQ15</f>
        <v>14</v>
      </c>
      <c r="AN16" s="6">
        <f t="shared" si="35"/>
        <v>12</v>
      </c>
      <c r="AO16" s="244">
        <v>1</v>
      </c>
      <c r="AP16" s="245">
        <v>2</v>
      </c>
      <c r="AQ16" s="5">
        <v>1</v>
      </c>
      <c r="AR16" s="16">
        <v>1</v>
      </c>
      <c r="AS16" s="6"/>
    </row>
    <row r="17" spans="1:45" ht="15.75" x14ac:dyDescent="0.25">
      <c r="A17" s="187"/>
      <c r="B17" s="3" t="s">
        <v>45</v>
      </c>
      <c r="C17" s="13">
        <f t="shared" ref="C17:D17" si="36">C16-E16+G16</f>
        <v>0</v>
      </c>
      <c r="D17" s="8">
        <f t="shared" si="36"/>
        <v>0</v>
      </c>
      <c r="E17" s="241">
        <v>1</v>
      </c>
      <c r="F17" s="242">
        <v>1</v>
      </c>
      <c r="G17" s="241">
        <v>2</v>
      </c>
      <c r="H17" s="243">
        <v>2</v>
      </c>
      <c r="I17" s="7">
        <f t="shared" ref="I17:J17" si="37">I16-K16+M16</f>
        <v>4</v>
      </c>
      <c r="J17" s="8">
        <f t="shared" si="37"/>
        <v>1</v>
      </c>
      <c r="K17" s="7">
        <v>1</v>
      </c>
      <c r="L17" s="8">
        <v>1</v>
      </c>
      <c r="M17" s="7">
        <v>2</v>
      </c>
      <c r="N17" s="14">
        <v>2</v>
      </c>
      <c r="O17" s="187"/>
      <c r="P17" s="187"/>
      <c r="Q17" s="3" t="s">
        <v>45</v>
      </c>
      <c r="R17" s="13">
        <f t="shared" ref="R17:S17" si="38">R16-T16+V16</f>
        <v>1</v>
      </c>
      <c r="S17" s="8">
        <f t="shared" si="38"/>
        <v>1</v>
      </c>
      <c r="T17" s="241">
        <v>1</v>
      </c>
      <c r="U17" s="242">
        <v>1</v>
      </c>
      <c r="V17" s="241">
        <v>2</v>
      </c>
      <c r="W17" s="243">
        <v>2</v>
      </c>
      <c r="X17" s="7">
        <f t="shared" ref="X17:Y17" si="39">X16-Z16+AB16</f>
        <v>4</v>
      </c>
      <c r="Y17" s="8">
        <f t="shared" si="39"/>
        <v>1</v>
      </c>
      <c r="Z17" s="7">
        <v>1</v>
      </c>
      <c r="AA17" s="8">
        <v>1</v>
      </c>
      <c r="AB17" s="7">
        <v>2</v>
      </c>
      <c r="AC17" s="14">
        <v>2</v>
      </c>
      <c r="AD17" s="187"/>
      <c r="AE17" s="187"/>
      <c r="AF17" s="3" t="s">
        <v>45</v>
      </c>
      <c r="AG17" s="13">
        <f t="shared" ref="AG17:AH17" si="40">AG16-AI16+AK16</f>
        <v>23</v>
      </c>
      <c r="AH17" s="8">
        <f t="shared" si="40"/>
        <v>23</v>
      </c>
      <c r="AI17" s="241">
        <v>1</v>
      </c>
      <c r="AJ17" s="242">
        <v>1</v>
      </c>
      <c r="AK17" s="7">
        <v>6</v>
      </c>
      <c r="AL17" s="14">
        <v>6</v>
      </c>
      <c r="AM17" s="7">
        <f t="shared" ref="AM17:AN17" si="41">AM16-AO16+AQ16</f>
        <v>14</v>
      </c>
      <c r="AN17" s="8">
        <f t="shared" si="41"/>
        <v>11</v>
      </c>
      <c r="AO17" s="241">
        <v>1</v>
      </c>
      <c r="AP17" s="242">
        <v>1</v>
      </c>
      <c r="AQ17" s="7">
        <v>3</v>
      </c>
      <c r="AR17" s="14">
        <v>3</v>
      </c>
      <c r="AS17" s="6"/>
    </row>
    <row r="18" spans="1:45" ht="15.75" x14ac:dyDescent="0.25">
      <c r="A18" s="187"/>
      <c r="B18" s="3" t="s">
        <v>70</v>
      </c>
      <c r="C18" s="15">
        <f t="shared" ref="C18:D18" si="42">C17-E17+G17</f>
        <v>1</v>
      </c>
      <c r="D18" s="6">
        <f t="shared" si="42"/>
        <v>1</v>
      </c>
      <c r="E18" s="244">
        <v>1</v>
      </c>
      <c r="F18" s="245">
        <v>0</v>
      </c>
      <c r="G18" s="244">
        <v>1</v>
      </c>
      <c r="H18" s="246">
        <v>1</v>
      </c>
      <c r="I18" s="5">
        <f t="shared" ref="I18:J18" si="43">I17-K17+M17</f>
        <v>5</v>
      </c>
      <c r="J18" s="6">
        <f t="shared" si="43"/>
        <v>2</v>
      </c>
      <c r="K18" s="5">
        <v>0</v>
      </c>
      <c r="L18" s="6">
        <v>1</v>
      </c>
      <c r="M18" s="5">
        <v>0</v>
      </c>
      <c r="N18" s="16">
        <v>0</v>
      </c>
      <c r="O18" s="187"/>
      <c r="P18" s="187"/>
      <c r="Q18" s="3" t="s">
        <v>70</v>
      </c>
      <c r="R18" s="15">
        <f t="shared" ref="R18:S18" si="44">R17-T17+V17</f>
        <v>2</v>
      </c>
      <c r="S18" s="6">
        <f t="shared" si="44"/>
        <v>2</v>
      </c>
      <c r="T18" s="244">
        <v>1</v>
      </c>
      <c r="U18" s="245">
        <v>0</v>
      </c>
      <c r="V18" s="244">
        <v>1</v>
      </c>
      <c r="W18" s="246">
        <v>1</v>
      </c>
      <c r="X18" s="5">
        <f t="shared" ref="X18:Y18" si="45">X17-Z17+AB17</f>
        <v>5</v>
      </c>
      <c r="Y18" s="6">
        <f t="shared" si="45"/>
        <v>2</v>
      </c>
      <c r="Z18" s="5">
        <v>0</v>
      </c>
      <c r="AA18" s="6">
        <v>1</v>
      </c>
      <c r="AB18" s="5">
        <v>0</v>
      </c>
      <c r="AC18" s="16">
        <v>0</v>
      </c>
      <c r="AD18" s="187"/>
      <c r="AE18" s="187"/>
      <c r="AF18" s="3" t="s">
        <v>70</v>
      </c>
      <c r="AG18" s="15">
        <f t="shared" ref="AG18:AH18" si="46">AG17-AI17+AK17</f>
        <v>28</v>
      </c>
      <c r="AH18" s="6">
        <f t="shared" si="46"/>
        <v>28</v>
      </c>
      <c r="AI18" s="244">
        <v>1</v>
      </c>
      <c r="AJ18" s="245">
        <v>0</v>
      </c>
      <c r="AK18" s="5">
        <v>1</v>
      </c>
      <c r="AL18" s="16">
        <v>1</v>
      </c>
      <c r="AM18" s="5">
        <f t="shared" ref="AM18:AN18" si="47">AM17-AO17+AQ17</f>
        <v>16</v>
      </c>
      <c r="AN18" s="6">
        <f t="shared" si="47"/>
        <v>13</v>
      </c>
      <c r="AO18" s="244">
        <v>0</v>
      </c>
      <c r="AP18" s="245">
        <v>1</v>
      </c>
      <c r="AQ18" s="5">
        <v>0</v>
      </c>
      <c r="AR18" s="16">
        <v>0</v>
      </c>
      <c r="AS18" s="6"/>
    </row>
    <row r="19" spans="1:45" ht="15.75" x14ac:dyDescent="0.25">
      <c r="A19" s="187"/>
      <c r="B19" s="3" t="s">
        <v>47</v>
      </c>
      <c r="C19" s="13">
        <f t="shared" ref="C19:D19" si="48">C18-E18+G18</f>
        <v>1</v>
      </c>
      <c r="D19" s="8">
        <f t="shared" si="48"/>
        <v>2</v>
      </c>
      <c r="E19" s="241">
        <v>1</v>
      </c>
      <c r="F19" s="242">
        <v>0</v>
      </c>
      <c r="G19" s="241">
        <v>0</v>
      </c>
      <c r="H19" s="243">
        <v>0</v>
      </c>
      <c r="I19" s="7">
        <f t="shared" ref="I19:J19" si="49">I18-K18+M18</f>
        <v>5</v>
      </c>
      <c r="J19" s="8">
        <f t="shared" si="49"/>
        <v>1</v>
      </c>
      <c r="K19" s="7">
        <v>1</v>
      </c>
      <c r="L19" s="8">
        <v>2</v>
      </c>
      <c r="M19" s="7">
        <v>1</v>
      </c>
      <c r="N19" s="14">
        <v>1</v>
      </c>
      <c r="O19" s="187"/>
      <c r="P19" s="187"/>
      <c r="Q19" s="3" t="s">
        <v>47</v>
      </c>
      <c r="R19" s="13">
        <f t="shared" ref="R19:S19" si="50">R18-T18+V18</f>
        <v>2</v>
      </c>
      <c r="S19" s="8">
        <f t="shared" si="50"/>
        <v>3</v>
      </c>
      <c r="T19" s="241">
        <v>1</v>
      </c>
      <c r="U19" s="242">
        <v>0</v>
      </c>
      <c r="V19" s="241">
        <v>0</v>
      </c>
      <c r="W19" s="243">
        <v>0</v>
      </c>
      <c r="X19" s="7">
        <f t="shared" ref="X19:Y19" si="51">X18-Z18+AB18</f>
        <v>5</v>
      </c>
      <c r="Y19" s="8">
        <f t="shared" si="51"/>
        <v>1</v>
      </c>
      <c r="Z19" s="7">
        <v>1</v>
      </c>
      <c r="AA19" s="8">
        <v>2</v>
      </c>
      <c r="AB19" s="7">
        <v>1</v>
      </c>
      <c r="AC19" s="14">
        <v>1</v>
      </c>
      <c r="AD19" s="187"/>
      <c r="AE19" s="187"/>
      <c r="AF19" s="3" t="s">
        <v>47</v>
      </c>
      <c r="AG19" s="13">
        <f t="shared" ref="AG19:AH19" si="52">AG18-AI18+AK18</f>
        <v>28</v>
      </c>
      <c r="AH19" s="8">
        <f t="shared" si="52"/>
        <v>29</v>
      </c>
      <c r="AI19" s="241">
        <v>1</v>
      </c>
      <c r="AJ19" s="242">
        <v>0</v>
      </c>
      <c r="AK19" s="7">
        <v>1</v>
      </c>
      <c r="AL19" s="14">
        <v>1</v>
      </c>
      <c r="AM19" s="7">
        <f t="shared" ref="AM19:AN19" si="53">AM18-AO18+AQ18</f>
        <v>16</v>
      </c>
      <c r="AN19" s="8">
        <f t="shared" si="53"/>
        <v>12</v>
      </c>
      <c r="AO19" s="241">
        <v>1</v>
      </c>
      <c r="AP19" s="242">
        <v>2</v>
      </c>
      <c r="AQ19" s="7">
        <v>2</v>
      </c>
      <c r="AR19" s="14">
        <v>2</v>
      </c>
      <c r="AS19" s="6"/>
    </row>
    <row r="20" spans="1:45" ht="15.75" x14ac:dyDescent="0.25">
      <c r="A20" s="187"/>
      <c r="B20" s="3" t="s">
        <v>74</v>
      </c>
      <c r="C20" s="15">
        <f t="shared" ref="C20:D20" si="54">C19-E19+G19</f>
        <v>0</v>
      </c>
      <c r="D20" s="6">
        <f t="shared" si="54"/>
        <v>2</v>
      </c>
      <c r="E20" s="244">
        <v>1</v>
      </c>
      <c r="F20" s="245">
        <v>1</v>
      </c>
      <c r="G20" s="244">
        <v>2</v>
      </c>
      <c r="H20" s="246">
        <v>2</v>
      </c>
      <c r="I20" s="5">
        <f t="shared" ref="I20:J20" si="55">I19-K19+M19</f>
        <v>5</v>
      </c>
      <c r="J20" s="6">
        <f t="shared" si="55"/>
        <v>0</v>
      </c>
      <c r="K20" s="5">
        <v>0</v>
      </c>
      <c r="L20" s="6">
        <v>0</v>
      </c>
      <c r="M20" s="5">
        <v>0</v>
      </c>
      <c r="N20" s="16">
        <v>0</v>
      </c>
      <c r="O20" s="187"/>
      <c r="P20" s="187"/>
      <c r="Q20" s="3" t="s">
        <v>74</v>
      </c>
      <c r="R20" s="15">
        <f t="shared" ref="R20:S20" si="56">R19-T19+V19</f>
        <v>1</v>
      </c>
      <c r="S20" s="6">
        <f t="shared" si="56"/>
        <v>3</v>
      </c>
      <c r="T20" s="244">
        <v>1</v>
      </c>
      <c r="U20" s="245">
        <v>1</v>
      </c>
      <c r="V20" s="244">
        <v>2</v>
      </c>
      <c r="W20" s="246">
        <v>2</v>
      </c>
      <c r="X20" s="5">
        <f t="shared" ref="X20:Y20" si="57">X19-Z19+AB19</f>
        <v>5</v>
      </c>
      <c r="Y20" s="6">
        <f t="shared" si="57"/>
        <v>0</v>
      </c>
      <c r="Z20" s="5">
        <v>0</v>
      </c>
      <c r="AA20" s="6">
        <v>0</v>
      </c>
      <c r="AB20" s="5">
        <v>0</v>
      </c>
      <c r="AC20" s="16">
        <v>0</v>
      </c>
      <c r="AD20" s="187"/>
      <c r="AE20" s="187"/>
      <c r="AF20" s="3" t="s">
        <v>74</v>
      </c>
      <c r="AG20" s="15">
        <f t="shared" ref="AG20:AH20" si="58">AG19-AI19+AK19</f>
        <v>28</v>
      </c>
      <c r="AH20" s="6">
        <f t="shared" si="58"/>
        <v>30</v>
      </c>
      <c r="AI20" s="244">
        <v>1</v>
      </c>
      <c r="AJ20" s="245">
        <v>1</v>
      </c>
      <c r="AK20" s="5">
        <v>3</v>
      </c>
      <c r="AL20" s="16">
        <v>3</v>
      </c>
      <c r="AM20" s="5">
        <f t="shared" ref="AM20:AN20" si="59">AM19-AO19+AQ19</f>
        <v>17</v>
      </c>
      <c r="AN20" s="6">
        <f t="shared" si="59"/>
        <v>12</v>
      </c>
      <c r="AO20" s="244">
        <v>0</v>
      </c>
      <c r="AP20" s="245">
        <v>0</v>
      </c>
      <c r="AQ20" s="5">
        <v>3</v>
      </c>
      <c r="AR20" s="16">
        <v>3</v>
      </c>
      <c r="AS20" s="6"/>
    </row>
    <row r="21" spans="1:45" ht="15.75" x14ac:dyDescent="0.25">
      <c r="A21" s="187"/>
      <c r="B21" s="3" t="s">
        <v>76</v>
      </c>
      <c r="C21" s="13">
        <f t="shared" ref="C21:D21" si="60">C20-E20+G20</f>
        <v>1</v>
      </c>
      <c r="D21" s="8">
        <f t="shared" si="60"/>
        <v>3</v>
      </c>
      <c r="E21" s="241">
        <v>1</v>
      </c>
      <c r="F21" s="242">
        <v>2</v>
      </c>
      <c r="G21" s="241">
        <v>3</v>
      </c>
      <c r="H21" s="243">
        <v>3</v>
      </c>
      <c r="I21" s="7">
        <f t="shared" ref="I21:J21" si="61">I20-K20+M20</f>
        <v>5</v>
      </c>
      <c r="J21" s="8">
        <f t="shared" si="61"/>
        <v>0</v>
      </c>
      <c r="K21" s="7">
        <v>0</v>
      </c>
      <c r="L21" s="8">
        <v>0</v>
      </c>
      <c r="M21" s="7">
        <v>0</v>
      </c>
      <c r="N21" s="14">
        <v>0</v>
      </c>
      <c r="O21" s="187"/>
      <c r="P21" s="187"/>
      <c r="Q21" s="3" t="s">
        <v>76</v>
      </c>
      <c r="R21" s="13">
        <f t="shared" ref="R21:S21" si="62">R20-T20+V20</f>
        <v>2</v>
      </c>
      <c r="S21" s="8">
        <f t="shared" si="62"/>
        <v>4</v>
      </c>
      <c r="T21" s="241">
        <v>1</v>
      </c>
      <c r="U21" s="242">
        <v>2</v>
      </c>
      <c r="V21" s="241">
        <v>3</v>
      </c>
      <c r="W21" s="243">
        <v>3</v>
      </c>
      <c r="X21" s="7">
        <f t="shared" ref="X21:Y21" si="63">X20-Z20+AB20</f>
        <v>5</v>
      </c>
      <c r="Y21" s="8">
        <f t="shared" si="63"/>
        <v>0</v>
      </c>
      <c r="Z21" s="7">
        <v>0</v>
      </c>
      <c r="AA21" s="8">
        <v>0</v>
      </c>
      <c r="AB21" s="7">
        <v>0</v>
      </c>
      <c r="AC21" s="14">
        <v>0</v>
      </c>
      <c r="AD21" s="187"/>
      <c r="AE21" s="187"/>
      <c r="AF21" s="3" t="s">
        <v>76</v>
      </c>
      <c r="AG21" s="13">
        <f t="shared" ref="AG21:AH21" si="64">AG20-AI20+AK20</f>
        <v>30</v>
      </c>
      <c r="AH21" s="8">
        <f t="shared" si="64"/>
        <v>32</v>
      </c>
      <c r="AI21" s="241">
        <v>1</v>
      </c>
      <c r="AJ21" s="242">
        <v>2</v>
      </c>
      <c r="AK21" s="7">
        <v>6</v>
      </c>
      <c r="AL21" s="14">
        <v>6</v>
      </c>
      <c r="AM21" s="7">
        <f t="shared" ref="AM21:AN21" si="65">AM20-AO20+AQ20</f>
        <v>20</v>
      </c>
      <c r="AN21" s="8">
        <f t="shared" si="65"/>
        <v>15</v>
      </c>
      <c r="AO21" s="241">
        <v>0</v>
      </c>
      <c r="AP21" s="242">
        <v>0</v>
      </c>
      <c r="AQ21" s="7">
        <v>2</v>
      </c>
      <c r="AR21" s="14">
        <v>2</v>
      </c>
      <c r="AS21" s="6"/>
    </row>
    <row r="22" spans="1:45" ht="15.75" x14ac:dyDescent="0.25">
      <c r="A22" s="187"/>
      <c r="B22" s="3" t="s">
        <v>79</v>
      </c>
      <c r="C22" s="15">
        <f t="shared" ref="C22:D22" si="66">C21-E21+G21</f>
        <v>3</v>
      </c>
      <c r="D22" s="6">
        <f t="shared" si="66"/>
        <v>4</v>
      </c>
      <c r="E22" s="244">
        <v>0</v>
      </c>
      <c r="F22" s="245">
        <v>2</v>
      </c>
      <c r="G22" s="244">
        <v>1</v>
      </c>
      <c r="H22" s="246">
        <v>1</v>
      </c>
      <c r="I22" s="5">
        <f t="shared" ref="I22:J22" si="67">I21-K21+M21</f>
        <v>5</v>
      </c>
      <c r="J22" s="6">
        <f t="shared" si="67"/>
        <v>0</v>
      </c>
      <c r="K22" s="5">
        <v>1</v>
      </c>
      <c r="L22" s="6">
        <v>0</v>
      </c>
      <c r="M22" s="5">
        <v>0</v>
      </c>
      <c r="N22" s="16">
        <v>0</v>
      </c>
      <c r="O22" s="187"/>
      <c r="P22" s="187"/>
      <c r="Q22" s="3" t="s">
        <v>79</v>
      </c>
      <c r="R22" s="15">
        <f t="shared" ref="R22:S22" si="68">R21-T21+V21</f>
        <v>4</v>
      </c>
      <c r="S22" s="6">
        <f t="shared" si="68"/>
        <v>5</v>
      </c>
      <c r="T22" s="244">
        <v>0</v>
      </c>
      <c r="U22" s="245">
        <v>2</v>
      </c>
      <c r="V22" s="244">
        <v>1</v>
      </c>
      <c r="W22" s="246">
        <v>1</v>
      </c>
      <c r="X22" s="5">
        <f t="shared" ref="X22:Y22" si="69">X21-Z21+AB21</f>
        <v>5</v>
      </c>
      <c r="Y22" s="6">
        <f t="shared" si="69"/>
        <v>0</v>
      </c>
      <c r="Z22" s="5">
        <v>1</v>
      </c>
      <c r="AA22" s="6">
        <v>0</v>
      </c>
      <c r="AB22" s="5">
        <v>0</v>
      </c>
      <c r="AC22" s="16">
        <v>0</v>
      </c>
      <c r="AD22" s="187"/>
      <c r="AE22" s="187"/>
      <c r="AF22" s="3" t="s">
        <v>79</v>
      </c>
      <c r="AG22" s="15">
        <f t="shared" ref="AG22:AH22" si="70">AG21-AI21+AK21</f>
        <v>35</v>
      </c>
      <c r="AH22" s="6">
        <f t="shared" si="70"/>
        <v>36</v>
      </c>
      <c r="AI22" s="244">
        <v>0</v>
      </c>
      <c r="AJ22" s="245">
        <v>2</v>
      </c>
      <c r="AK22" s="5">
        <v>3</v>
      </c>
      <c r="AL22" s="16">
        <v>3</v>
      </c>
      <c r="AM22" s="5">
        <f t="shared" ref="AM22:AN22" si="71">AM21-AO21+AQ21</f>
        <v>22</v>
      </c>
      <c r="AN22" s="6">
        <f t="shared" si="71"/>
        <v>17</v>
      </c>
      <c r="AO22" s="244">
        <v>1</v>
      </c>
      <c r="AP22" s="245">
        <v>0</v>
      </c>
      <c r="AQ22" s="5">
        <v>4</v>
      </c>
      <c r="AR22" s="16">
        <v>4</v>
      </c>
      <c r="AS22" s="6"/>
    </row>
    <row r="23" spans="1:45" ht="15.75" x14ac:dyDescent="0.25">
      <c r="A23" s="187"/>
      <c r="B23" s="3" t="s">
        <v>51</v>
      </c>
      <c r="C23" s="13">
        <f t="shared" ref="C23:D23" si="72">C22-E22+G22</f>
        <v>4</v>
      </c>
      <c r="D23" s="8">
        <f t="shared" si="72"/>
        <v>3</v>
      </c>
      <c r="E23" s="241">
        <v>0</v>
      </c>
      <c r="F23" s="242">
        <v>2</v>
      </c>
      <c r="G23" s="241">
        <v>0</v>
      </c>
      <c r="H23" s="243">
        <v>0</v>
      </c>
      <c r="I23" s="7">
        <f t="shared" ref="I23:J23" si="73">I22-K22+M22</f>
        <v>4</v>
      </c>
      <c r="J23" s="8">
        <f t="shared" si="73"/>
        <v>0</v>
      </c>
      <c r="K23" s="7">
        <v>1</v>
      </c>
      <c r="L23" s="8">
        <v>0</v>
      </c>
      <c r="M23" s="7">
        <v>1</v>
      </c>
      <c r="N23" s="14">
        <v>0</v>
      </c>
      <c r="O23" s="187"/>
      <c r="P23" s="187"/>
      <c r="Q23" s="3" t="s">
        <v>51</v>
      </c>
      <c r="R23" s="13">
        <f t="shared" ref="R23:S23" si="74">R22-T22+V22</f>
        <v>5</v>
      </c>
      <c r="S23" s="8">
        <f t="shared" si="74"/>
        <v>4</v>
      </c>
      <c r="T23" s="241">
        <v>0</v>
      </c>
      <c r="U23" s="242">
        <v>2</v>
      </c>
      <c r="V23" s="241">
        <v>0</v>
      </c>
      <c r="W23" s="243">
        <v>0</v>
      </c>
      <c r="X23" s="7">
        <f t="shared" ref="X23:Y23" si="75">X22-Z22+AB22</f>
        <v>4</v>
      </c>
      <c r="Y23" s="8">
        <f t="shared" si="75"/>
        <v>0</v>
      </c>
      <c r="Z23" s="7">
        <v>1</v>
      </c>
      <c r="AA23" s="8">
        <v>0</v>
      </c>
      <c r="AB23" s="7">
        <v>1</v>
      </c>
      <c r="AC23" s="14">
        <v>0</v>
      </c>
      <c r="AD23" s="187"/>
      <c r="AE23" s="187"/>
      <c r="AF23" s="3" t="s">
        <v>51</v>
      </c>
      <c r="AG23" s="13">
        <f t="shared" ref="AG23:AH23" si="76">AG22-AI22+AK22</f>
        <v>38</v>
      </c>
      <c r="AH23" s="8">
        <f t="shared" si="76"/>
        <v>37</v>
      </c>
      <c r="AI23" s="241">
        <v>0</v>
      </c>
      <c r="AJ23" s="242">
        <v>2</v>
      </c>
      <c r="AK23" s="7">
        <v>3</v>
      </c>
      <c r="AL23" s="14">
        <v>3</v>
      </c>
      <c r="AM23" s="7">
        <f t="shared" ref="AM23:AN23" si="77">AM22-AO22+AQ22</f>
        <v>25</v>
      </c>
      <c r="AN23" s="8">
        <f t="shared" si="77"/>
        <v>21</v>
      </c>
      <c r="AO23" s="241">
        <v>1</v>
      </c>
      <c r="AP23" s="242">
        <v>0</v>
      </c>
      <c r="AQ23" s="7">
        <v>4</v>
      </c>
      <c r="AR23" s="14">
        <v>4</v>
      </c>
      <c r="AS23" s="6"/>
    </row>
    <row r="24" spans="1:45" ht="15.75" x14ac:dyDescent="0.25">
      <c r="A24" s="187"/>
      <c r="B24" s="3" t="s">
        <v>84</v>
      </c>
      <c r="C24" s="15">
        <f t="shared" ref="C24:D24" si="78">C23-E23+G23</f>
        <v>4</v>
      </c>
      <c r="D24" s="6">
        <f t="shared" si="78"/>
        <v>1</v>
      </c>
      <c r="E24" s="244">
        <v>0</v>
      </c>
      <c r="F24" s="245">
        <v>1</v>
      </c>
      <c r="G24" s="244">
        <v>0</v>
      </c>
      <c r="H24" s="246">
        <v>0</v>
      </c>
      <c r="I24" s="5">
        <f t="shared" ref="I24:J24" si="79">I23-K23+M23</f>
        <v>4</v>
      </c>
      <c r="J24" s="6">
        <f t="shared" si="79"/>
        <v>0</v>
      </c>
      <c r="K24" s="5">
        <v>0</v>
      </c>
      <c r="L24" s="6">
        <v>0</v>
      </c>
      <c r="M24" s="5">
        <v>1</v>
      </c>
      <c r="N24" s="16">
        <v>1</v>
      </c>
      <c r="O24" s="187"/>
      <c r="P24" s="187"/>
      <c r="Q24" s="3" t="s">
        <v>84</v>
      </c>
      <c r="R24" s="15">
        <f t="shared" ref="R24:S24" si="80">R23-T23+V23</f>
        <v>5</v>
      </c>
      <c r="S24" s="6">
        <f t="shared" si="80"/>
        <v>2</v>
      </c>
      <c r="T24" s="244">
        <v>0</v>
      </c>
      <c r="U24" s="245">
        <v>1</v>
      </c>
      <c r="V24" s="244">
        <v>0</v>
      </c>
      <c r="W24" s="246">
        <v>0</v>
      </c>
      <c r="X24" s="5">
        <f t="shared" ref="X24:Y24" si="81">X23-Z23+AB23</f>
        <v>4</v>
      </c>
      <c r="Y24" s="6">
        <f t="shared" si="81"/>
        <v>0</v>
      </c>
      <c r="Z24" s="5">
        <v>0</v>
      </c>
      <c r="AA24" s="6">
        <v>0</v>
      </c>
      <c r="AB24" s="5">
        <v>1</v>
      </c>
      <c r="AC24" s="16">
        <v>1</v>
      </c>
      <c r="AD24" s="187"/>
      <c r="AE24" s="187"/>
      <c r="AF24" s="3" t="s">
        <v>84</v>
      </c>
      <c r="AG24" s="15">
        <f>AG23-AI23+AK23</f>
        <v>41</v>
      </c>
      <c r="AH24" s="6">
        <f t="shared" ref="AG24:AH24" si="82">AH23-AJ23+AL23</f>
        <v>38</v>
      </c>
      <c r="AI24" s="244">
        <v>0</v>
      </c>
      <c r="AJ24" s="245">
        <v>1</v>
      </c>
      <c r="AK24" s="5">
        <v>5</v>
      </c>
      <c r="AL24" s="16">
        <v>5</v>
      </c>
      <c r="AM24" s="5">
        <f t="shared" ref="AM24:AN24" si="83">AM23-AO23+AQ23</f>
        <v>28</v>
      </c>
      <c r="AN24" s="6">
        <f t="shared" si="83"/>
        <v>25</v>
      </c>
      <c r="AO24" s="244">
        <v>0</v>
      </c>
      <c r="AP24" s="245">
        <v>0</v>
      </c>
      <c r="AQ24" s="5">
        <v>2</v>
      </c>
      <c r="AR24" s="16">
        <f>2+IF('100%'!J42 = "Yes", 1, 0)</f>
        <v>2</v>
      </c>
      <c r="AS24" s="6"/>
    </row>
    <row r="25" spans="1:45" ht="15.75" x14ac:dyDescent="0.25">
      <c r="A25" s="187"/>
      <c r="B25" s="3" t="s">
        <v>86</v>
      </c>
      <c r="C25" s="13">
        <f t="shared" ref="C25:D25" si="84">C24-E24+G24</f>
        <v>4</v>
      </c>
      <c r="D25" s="8">
        <f t="shared" si="84"/>
        <v>0</v>
      </c>
      <c r="E25" s="241">
        <v>4</v>
      </c>
      <c r="F25" s="242">
        <v>0</v>
      </c>
      <c r="G25" s="241">
        <v>0</v>
      </c>
      <c r="H25" s="243">
        <v>0</v>
      </c>
      <c r="I25" s="7">
        <f t="shared" ref="I25:J25" si="85">I24-K24+M24</f>
        <v>5</v>
      </c>
      <c r="J25" s="8">
        <f t="shared" si="85"/>
        <v>1</v>
      </c>
      <c r="K25" s="7">
        <v>3</v>
      </c>
      <c r="L25" s="8">
        <v>2</v>
      </c>
      <c r="M25" s="7">
        <v>1</v>
      </c>
      <c r="N25" s="14">
        <v>1</v>
      </c>
      <c r="O25" s="187"/>
      <c r="P25" s="187"/>
      <c r="Q25" s="3" t="s">
        <v>86</v>
      </c>
      <c r="R25" s="13">
        <f t="shared" ref="R25:S25" si="86">R24-T24+V24</f>
        <v>5</v>
      </c>
      <c r="S25" s="8">
        <f t="shared" si="86"/>
        <v>1</v>
      </c>
      <c r="T25" s="241">
        <v>4</v>
      </c>
      <c r="U25" s="242">
        <v>0</v>
      </c>
      <c r="V25" s="241">
        <v>0</v>
      </c>
      <c r="W25" s="243">
        <v>0</v>
      </c>
      <c r="X25" s="7">
        <f t="shared" ref="X25:Y25" si="87">X24-Z24+AB24</f>
        <v>5</v>
      </c>
      <c r="Y25" s="8">
        <f t="shared" si="87"/>
        <v>1</v>
      </c>
      <c r="Z25" s="7">
        <v>3</v>
      </c>
      <c r="AA25" s="8">
        <v>2</v>
      </c>
      <c r="AB25" s="7">
        <v>1</v>
      </c>
      <c r="AC25" s="14">
        <v>1</v>
      </c>
      <c r="AD25" s="187"/>
      <c r="AE25" s="187"/>
      <c r="AF25" s="3" t="s">
        <v>86</v>
      </c>
      <c r="AG25" s="13">
        <f t="shared" ref="AG25:AH25" si="88">AG24-AI24+AK24</f>
        <v>46</v>
      </c>
      <c r="AH25" s="8">
        <f t="shared" si="88"/>
        <v>42</v>
      </c>
      <c r="AI25" s="241">
        <v>4</v>
      </c>
      <c r="AJ25" s="242">
        <v>0</v>
      </c>
      <c r="AK25" s="7">
        <v>3</v>
      </c>
      <c r="AL25" s="14">
        <v>3</v>
      </c>
      <c r="AM25" s="7">
        <f t="shared" ref="AM25:AN25" si="89">AM24-AO24+AQ24</f>
        <v>30</v>
      </c>
      <c r="AN25" s="8">
        <f t="shared" si="89"/>
        <v>27</v>
      </c>
      <c r="AO25" s="241">
        <v>3</v>
      </c>
      <c r="AP25" s="242">
        <v>2</v>
      </c>
      <c r="AQ25" s="7">
        <v>3</v>
      </c>
      <c r="AR25" s="14">
        <v>3</v>
      </c>
      <c r="AS25" s="6"/>
    </row>
    <row r="26" spans="1:45" ht="15.75" x14ac:dyDescent="0.25">
      <c r="A26" s="187"/>
      <c r="B26" s="3" t="s">
        <v>89</v>
      </c>
      <c r="C26" s="15">
        <f t="shared" ref="C26:D26" si="90">C25-E25+G25</f>
        <v>0</v>
      </c>
      <c r="D26" s="6">
        <f t="shared" si="90"/>
        <v>0</v>
      </c>
      <c r="E26" s="244">
        <v>0</v>
      </c>
      <c r="F26" s="245">
        <v>0</v>
      </c>
      <c r="G26" s="244">
        <v>0</v>
      </c>
      <c r="H26" s="246">
        <v>0</v>
      </c>
      <c r="I26" s="5">
        <f t="shared" ref="I26:J26" si="91">I25-K25+M25</f>
        <v>3</v>
      </c>
      <c r="J26" s="6">
        <f t="shared" si="91"/>
        <v>0</v>
      </c>
      <c r="K26" s="5">
        <v>4</v>
      </c>
      <c r="L26" s="6">
        <v>1</v>
      </c>
      <c r="M26" s="5">
        <v>1</v>
      </c>
      <c r="N26" s="16">
        <v>1</v>
      </c>
      <c r="O26" s="187"/>
      <c r="P26" s="187"/>
      <c r="Q26" s="3" t="s">
        <v>89</v>
      </c>
      <c r="R26" s="15">
        <f t="shared" ref="R26:S26" si="92">R25-T25+V25</f>
        <v>1</v>
      </c>
      <c r="S26" s="6">
        <f t="shared" si="92"/>
        <v>1</v>
      </c>
      <c r="T26" s="244">
        <v>0</v>
      </c>
      <c r="U26" s="245">
        <v>0</v>
      </c>
      <c r="V26" s="244">
        <v>0</v>
      </c>
      <c r="W26" s="246">
        <v>0</v>
      </c>
      <c r="X26" s="5">
        <f t="shared" ref="X26:Y26" si="93">X25-Z25+AB25</f>
        <v>3</v>
      </c>
      <c r="Y26" s="6">
        <f t="shared" si="93"/>
        <v>0</v>
      </c>
      <c r="Z26" s="5">
        <v>4</v>
      </c>
      <c r="AA26" s="6">
        <v>1</v>
      </c>
      <c r="AB26" s="5">
        <v>1</v>
      </c>
      <c r="AC26" s="16">
        <v>1</v>
      </c>
      <c r="AD26" s="187"/>
      <c r="AE26" s="187"/>
      <c r="AF26" s="3" t="s">
        <v>89</v>
      </c>
      <c r="AG26" s="15">
        <f t="shared" ref="AG26:AH26" si="94">AG25-AI25+AK25</f>
        <v>45</v>
      </c>
      <c r="AH26" s="6">
        <f t="shared" si="94"/>
        <v>45</v>
      </c>
      <c r="AI26" s="244">
        <v>0</v>
      </c>
      <c r="AJ26" s="245">
        <v>0</v>
      </c>
      <c r="AK26" s="5">
        <v>1</v>
      </c>
      <c r="AL26" s="16">
        <v>1</v>
      </c>
      <c r="AM26" s="5">
        <f t="shared" ref="AM26:AN26" si="95">AM25-AO25+AQ25</f>
        <v>30</v>
      </c>
      <c r="AN26" s="6">
        <f t="shared" si="95"/>
        <v>28</v>
      </c>
      <c r="AO26" s="244">
        <v>4</v>
      </c>
      <c r="AP26" s="245">
        <v>1</v>
      </c>
      <c r="AQ26" s="5">
        <v>4</v>
      </c>
      <c r="AR26" s="16">
        <v>4</v>
      </c>
      <c r="AS26" s="6"/>
    </row>
    <row r="27" spans="1:45" ht="15.75" x14ac:dyDescent="0.25">
      <c r="A27" s="187"/>
      <c r="B27" s="3" t="s">
        <v>92</v>
      </c>
      <c r="C27" s="13">
        <v>0</v>
      </c>
      <c r="D27" s="8">
        <f>D26-F26+H26</f>
        <v>0</v>
      </c>
      <c r="E27" s="241">
        <v>0</v>
      </c>
      <c r="F27" s="242">
        <v>0</v>
      </c>
      <c r="G27" s="241">
        <v>0</v>
      </c>
      <c r="H27" s="243">
        <v>0</v>
      </c>
      <c r="I27" s="7">
        <v>0</v>
      </c>
      <c r="J27" s="8">
        <v>0</v>
      </c>
      <c r="K27" s="7">
        <v>1</v>
      </c>
      <c r="L27" s="8">
        <v>2</v>
      </c>
      <c r="M27" s="7">
        <v>2</v>
      </c>
      <c r="N27" s="14">
        <v>2</v>
      </c>
      <c r="O27" s="187"/>
      <c r="P27" s="187"/>
      <c r="Q27" s="3" t="s">
        <v>92</v>
      </c>
      <c r="R27" s="13">
        <v>0</v>
      </c>
      <c r="S27" s="8">
        <v>0</v>
      </c>
      <c r="T27" s="241">
        <v>0</v>
      </c>
      <c r="U27" s="242">
        <v>0</v>
      </c>
      <c r="V27" s="241">
        <v>0</v>
      </c>
      <c r="W27" s="243">
        <v>0</v>
      </c>
      <c r="X27" s="7">
        <v>0</v>
      </c>
      <c r="Y27" s="8">
        <v>0</v>
      </c>
      <c r="Z27" s="7">
        <v>1</v>
      </c>
      <c r="AA27" s="8">
        <v>2</v>
      </c>
      <c r="AB27" s="7">
        <v>2</v>
      </c>
      <c r="AC27" s="14">
        <v>2</v>
      </c>
      <c r="AD27" s="187"/>
      <c r="AE27" s="187"/>
      <c r="AF27" s="3" t="s">
        <v>92</v>
      </c>
      <c r="AG27" s="13">
        <v>0</v>
      </c>
      <c r="AH27" s="8">
        <v>0</v>
      </c>
      <c r="AI27" s="241">
        <v>0</v>
      </c>
      <c r="AJ27" s="242">
        <v>0</v>
      </c>
      <c r="AK27" s="7">
        <v>2</v>
      </c>
      <c r="AL27" s="14">
        <v>2</v>
      </c>
      <c r="AM27" s="7">
        <v>0</v>
      </c>
      <c r="AN27" s="8">
        <v>0</v>
      </c>
      <c r="AO27" s="241">
        <v>1</v>
      </c>
      <c r="AP27" s="242">
        <v>2</v>
      </c>
      <c r="AQ27" s="19">
        <v>2</v>
      </c>
      <c r="AR27" s="20">
        <v>2</v>
      </c>
      <c r="AS27" s="6"/>
    </row>
    <row r="28" spans="1:45" ht="10.5" customHeight="1" x14ac:dyDescent="0.25">
      <c r="A28" s="187"/>
      <c r="B28" s="194"/>
      <c r="C28" s="194"/>
      <c r="D28" s="194"/>
      <c r="E28" s="194"/>
      <c r="F28" s="194"/>
      <c r="G28" s="194"/>
      <c r="H28" s="194"/>
      <c r="I28" s="194"/>
      <c r="J28" s="194"/>
      <c r="K28" s="194"/>
      <c r="L28" s="194"/>
      <c r="M28" s="194"/>
      <c r="N28" s="194"/>
      <c r="O28" s="187"/>
      <c r="P28" s="187"/>
      <c r="Q28" s="194"/>
      <c r="R28" s="196"/>
      <c r="S28" s="196"/>
      <c r="T28" s="196"/>
      <c r="U28" s="196"/>
      <c r="V28" s="196"/>
      <c r="W28" s="196"/>
      <c r="X28" s="196"/>
      <c r="Y28" s="196"/>
      <c r="Z28" s="196"/>
      <c r="AA28" s="196"/>
      <c r="AB28" s="196"/>
      <c r="AC28" s="196"/>
      <c r="AD28" s="187"/>
      <c r="AE28" s="187"/>
      <c r="AF28" s="194"/>
      <c r="AG28" s="194"/>
      <c r="AH28" s="194"/>
      <c r="AI28" s="194"/>
      <c r="AJ28" s="194"/>
      <c r="AK28" s="194"/>
      <c r="AL28" s="194"/>
      <c r="AM28" s="194"/>
      <c r="AN28" s="194"/>
      <c r="AO28" s="194"/>
      <c r="AP28" s="194"/>
      <c r="AQ28" s="194"/>
      <c r="AR28" s="194"/>
      <c r="AS28" s="166"/>
    </row>
    <row r="29" spans="1:45" s="108" customFormat="1" ht="10.5" customHeight="1" x14ac:dyDescent="0.25">
      <c r="A29" s="187"/>
      <c r="B29" s="166"/>
      <c r="C29" s="166"/>
      <c r="D29" s="166"/>
      <c r="E29" s="166"/>
      <c r="F29" s="166"/>
      <c r="G29" s="166"/>
      <c r="H29" s="166"/>
      <c r="I29" s="166"/>
      <c r="J29" s="166"/>
      <c r="K29" s="166"/>
      <c r="L29" s="166"/>
      <c r="M29" s="166"/>
      <c r="N29" s="166"/>
      <c r="O29" s="187"/>
      <c r="P29" s="187"/>
      <c r="Q29" s="166"/>
      <c r="R29" s="197"/>
      <c r="S29" s="197"/>
      <c r="T29" s="197"/>
      <c r="U29" s="197"/>
      <c r="V29" s="197"/>
      <c r="W29" s="197"/>
      <c r="X29" s="197"/>
      <c r="Y29" s="197"/>
      <c r="Z29" s="197"/>
      <c r="AA29" s="197"/>
      <c r="AB29" s="197"/>
      <c r="AC29" s="197"/>
      <c r="AD29" s="187"/>
      <c r="AE29" s="187"/>
      <c r="AF29" s="166"/>
      <c r="AG29" s="166"/>
      <c r="AH29" s="166"/>
      <c r="AI29" s="166"/>
      <c r="AJ29" s="166"/>
      <c r="AK29" s="166"/>
      <c r="AL29" s="166"/>
      <c r="AM29" s="166"/>
      <c r="AN29" s="166"/>
      <c r="AO29" s="166"/>
      <c r="AP29" s="166"/>
      <c r="AQ29" s="166"/>
      <c r="AR29" s="166"/>
      <c r="AS29" s="166"/>
    </row>
    <row r="30" spans="1:45" ht="15.75" x14ac:dyDescent="0.25">
      <c r="A30" s="187"/>
      <c r="B30" s="318" t="s">
        <v>96</v>
      </c>
      <c r="C30" s="319"/>
      <c r="D30" s="319"/>
      <c r="E30" s="319"/>
      <c r="F30" s="319"/>
      <c r="G30" s="319"/>
      <c r="H30" s="319"/>
      <c r="I30" s="319"/>
      <c r="J30" s="319"/>
      <c r="K30" s="319"/>
      <c r="L30" s="319"/>
      <c r="M30" s="319"/>
      <c r="N30" s="320"/>
      <c r="O30" s="187"/>
      <c r="P30" s="187"/>
      <c r="Q30" s="318" t="s">
        <v>97</v>
      </c>
      <c r="R30" s="319"/>
      <c r="S30" s="319"/>
      <c r="T30" s="319"/>
      <c r="U30" s="319"/>
      <c r="V30" s="319"/>
      <c r="W30" s="319"/>
      <c r="X30" s="319"/>
      <c r="Y30" s="319"/>
      <c r="Z30" s="319"/>
      <c r="AA30" s="319"/>
      <c r="AB30" s="319"/>
      <c r="AC30" s="320"/>
      <c r="AD30" s="187"/>
      <c r="AE30" s="187"/>
      <c r="AF30" s="318" t="s">
        <v>98</v>
      </c>
      <c r="AG30" s="319"/>
      <c r="AH30" s="319"/>
      <c r="AI30" s="319"/>
      <c r="AJ30" s="319"/>
      <c r="AK30" s="319"/>
      <c r="AL30" s="319"/>
      <c r="AM30" s="319"/>
      <c r="AN30" s="319"/>
      <c r="AO30" s="319"/>
      <c r="AP30" s="319"/>
      <c r="AQ30" s="319"/>
      <c r="AR30" s="320"/>
      <c r="AS30" s="198"/>
    </row>
    <row r="31" spans="1:45" ht="15.75" x14ac:dyDescent="0.25">
      <c r="A31" s="187"/>
      <c r="B31" s="321" t="s">
        <v>7</v>
      </c>
      <c r="C31" s="315" t="s">
        <v>28</v>
      </c>
      <c r="D31" s="316"/>
      <c r="E31" s="316"/>
      <c r="F31" s="316"/>
      <c r="G31" s="316"/>
      <c r="H31" s="317"/>
      <c r="I31" s="315" t="s">
        <v>29</v>
      </c>
      <c r="J31" s="316"/>
      <c r="K31" s="316"/>
      <c r="L31" s="316"/>
      <c r="M31" s="316"/>
      <c r="N31" s="317"/>
      <c r="O31" s="187"/>
      <c r="P31" s="187"/>
      <c r="Q31" s="321" t="s">
        <v>7</v>
      </c>
      <c r="R31" s="315" t="s">
        <v>28</v>
      </c>
      <c r="S31" s="316"/>
      <c r="T31" s="316"/>
      <c r="U31" s="316"/>
      <c r="V31" s="316"/>
      <c r="W31" s="317"/>
      <c r="X31" s="315" t="s">
        <v>29</v>
      </c>
      <c r="Y31" s="316"/>
      <c r="Z31" s="316"/>
      <c r="AA31" s="316"/>
      <c r="AB31" s="316"/>
      <c r="AC31" s="317"/>
      <c r="AD31" s="187"/>
      <c r="AE31" s="187"/>
      <c r="AF31" s="321" t="s">
        <v>7</v>
      </c>
      <c r="AG31" s="315" t="s">
        <v>28</v>
      </c>
      <c r="AH31" s="316"/>
      <c r="AI31" s="316"/>
      <c r="AJ31" s="316"/>
      <c r="AK31" s="316"/>
      <c r="AL31" s="317"/>
      <c r="AM31" s="315" t="s">
        <v>29</v>
      </c>
      <c r="AN31" s="316"/>
      <c r="AO31" s="316"/>
      <c r="AP31" s="316"/>
      <c r="AQ31" s="316"/>
      <c r="AR31" s="317"/>
      <c r="AS31" s="198"/>
    </row>
    <row r="32" spans="1:45" ht="15.75" x14ac:dyDescent="0.25">
      <c r="A32" s="187"/>
      <c r="B32" s="322"/>
      <c r="C32" s="311" t="s">
        <v>31</v>
      </c>
      <c r="D32" s="312"/>
      <c r="E32" s="313" t="s">
        <v>34</v>
      </c>
      <c r="F32" s="314"/>
      <c r="G32" s="309" t="s">
        <v>36</v>
      </c>
      <c r="H32" s="312"/>
      <c r="I32" s="311" t="s">
        <v>31</v>
      </c>
      <c r="J32" s="312"/>
      <c r="K32" s="313" t="s">
        <v>34</v>
      </c>
      <c r="L32" s="314"/>
      <c r="M32" s="309" t="s">
        <v>36</v>
      </c>
      <c r="N32" s="310"/>
      <c r="O32" s="187"/>
      <c r="P32" s="187"/>
      <c r="Q32" s="322"/>
      <c r="R32" s="311" t="s">
        <v>31</v>
      </c>
      <c r="S32" s="312"/>
      <c r="T32" s="313" t="s">
        <v>34</v>
      </c>
      <c r="U32" s="314"/>
      <c r="V32" s="309" t="s">
        <v>36</v>
      </c>
      <c r="W32" s="312"/>
      <c r="X32" s="311" t="s">
        <v>31</v>
      </c>
      <c r="Y32" s="312"/>
      <c r="Z32" s="313" t="s">
        <v>34</v>
      </c>
      <c r="AA32" s="314"/>
      <c r="AB32" s="309" t="s">
        <v>36</v>
      </c>
      <c r="AC32" s="310"/>
      <c r="AD32" s="187"/>
      <c r="AE32" s="187"/>
      <c r="AF32" s="322"/>
      <c r="AG32" s="311" t="s">
        <v>31</v>
      </c>
      <c r="AH32" s="312"/>
      <c r="AI32" s="313" t="s">
        <v>34</v>
      </c>
      <c r="AJ32" s="314"/>
      <c r="AK32" s="309" t="s">
        <v>36</v>
      </c>
      <c r="AL32" s="312"/>
      <c r="AM32" s="311" t="s">
        <v>31</v>
      </c>
      <c r="AN32" s="312"/>
      <c r="AO32" s="313" t="s">
        <v>34</v>
      </c>
      <c r="AP32" s="314"/>
      <c r="AQ32" s="309" t="s">
        <v>36</v>
      </c>
      <c r="AR32" s="310"/>
      <c r="AS32" s="198"/>
    </row>
    <row r="33" spans="1:45" ht="15.75" x14ac:dyDescent="0.25">
      <c r="A33" s="187"/>
      <c r="B33" s="3" t="s">
        <v>39</v>
      </c>
      <c r="C33" s="9">
        <v>1</v>
      </c>
      <c r="D33" s="10">
        <v>1</v>
      </c>
      <c r="E33" s="238">
        <v>0</v>
      </c>
      <c r="F33" s="239">
        <v>0</v>
      </c>
      <c r="G33" s="238">
        <v>0</v>
      </c>
      <c r="H33" s="240">
        <v>0</v>
      </c>
      <c r="I33" s="11">
        <v>1</v>
      </c>
      <c r="J33" s="10">
        <v>1</v>
      </c>
      <c r="K33" s="11">
        <v>0</v>
      </c>
      <c r="L33" s="10">
        <v>0</v>
      </c>
      <c r="M33" s="11">
        <v>1</v>
      </c>
      <c r="N33" s="12">
        <v>1</v>
      </c>
      <c r="O33" s="187"/>
      <c r="P33" s="187"/>
      <c r="Q33" s="3" t="s">
        <v>39</v>
      </c>
      <c r="R33" s="9">
        <v>1</v>
      </c>
      <c r="S33" s="10">
        <v>1</v>
      </c>
      <c r="T33" s="238">
        <v>0</v>
      </c>
      <c r="U33" s="239">
        <v>0</v>
      </c>
      <c r="V33" s="238">
        <v>1</v>
      </c>
      <c r="W33" s="240">
        <v>1</v>
      </c>
      <c r="X33" s="11">
        <v>1</v>
      </c>
      <c r="Y33" s="10">
        <v>1</v>
      </c>
      <c r="Z33" s="11">
        <v>0</v>
      </c>
      <c r="AA33" s="10">
        <v>0</v>
      </c>
      <c r="AB33" s="11">
        <v>1</v>
      </c>
      <c r="AC33" s="12">
        <v>1</v>
      </c>
      <c r="AD33" s="187"/>
      <c r="AE33" s="187"/>
      <c r="AF33" s="3" t="s">
        <v>39</v>
      </c>
      <c r="AG33" s="9">
        <v>1</v>
      </c>
      <c r="AH33" s="10">
        <v>1</v>
      </c>
      <c r="AI33" s="238">
        <v>0</v>
      </c>
      <c r="AJ33" s="239">
        <v>0</v>
      </c>
      <c r="AK33" s="11">
        <v>2</v>
      </c>
      <c r="AL33" s="12">
        <v>2</v>
      </c>
      <c r="AM33" s="11">
        <v>1</v>
      </c>
      <c r="AN33" s="10">
        <v>1</v>
      </c>
      <c r="AO33" s="238">
        <v>0</v>
      </c>
      <c r="AP33" s="239">
        <v>0</v>
      </c>
      <c r="AQ33" s="11">
        <v>1</v>
      </c>
      <c r="AR33" s="12">
        <v>1</v>
      </c>
      <c r="AS33" s="6"/>
    </row>
    <row r="34" spans="1:45" ht="15.75" x14ac:dyDescent="0.25">
      <c r="A34" s="187"/>
      <c r="B34" s="3" t="s">
        <v>40</v>
      </c>
      <c r="C34" s="13">
        <f t="shared" ref="C34:D34" si="96">C33-E33+G33</f>
        <v>1</v>
      </c>
      <c r="D34" s="8">
        <f t="shared" si="96"/>
        <v>1</v>
      </c>
      <c r="E34" s="241">
        <v>0</v>
      </c>
      <c r="F34" s="242">
        <v>0</v>
      </c>
      <c r="G34" s="241">
        <v>0</v>
      </c>
      <c r="H34" s="243">
        <v>0</v>
      </c>
      <c r="I34" s="7">
        <f t="shared" ref="I34:J34" si="97">I33-K33+M33</f>
        <v>2</v>
      </c>
      <c r="J34" s="8">
        <f t="shared" si="97"/>
        <v>2</v>
      </c>
      <c r="K34" s="7">
        <v>0</v>
      </c>
      <c r="L34" s="8">
        <v>0</v>
      </c>
      <c r="M34" s="7">
        <v>0</v>
      </c>
      <c r="N34" s="14">
        <v>0</v>
      </c>
      <c r="O34" s="187"/>
      <c r="P34" s="187"/>
      <c r="Q34" s="3" t="s">
        <v>40</v>
      </c>
      <c r="R34" s="13">
        <f t="shared" ref="R34:S34" si="98">R33-T33+V33</f>
        <v>2</v>
      </c>
      <c r="S34" s="8">
        <f t="shared" si="98"/>
        <v>2</v>
      </c>
      <c r="T34" s="241">
        <v>0</v>
      </c>
      <c r="U34" s="242">
        <v>0</v>
      </c>
      <c r="V34" s="241">
        <v>0</v>
      </c>
      <c r="W34" s="243">
        <v>0</v>
      </c>
      <c r="X34" s="7">
        <f t="shared" ref="X34:Y34" si="99">X33-Z33+AB33</f>
        <v>2</v>
      </c>
      <c r="Y34" s="8">
        <f t="shared" si="99"/>
        <v>2</v>
      </c>
      <c r="Z34" s="7">
        <v>0</v>
      </c>
      <c r="AA34" s="8">
        <v>0</v>
      </c>
      <c r="AB34" s="7">
        <v>0</v>
      </c>
      <c r="AC34" s="14">
        <v>0</v>
      </c>
      <c r="AD34" s="187"/>
      <c r="AE34" s="187"/>
      <c r="AF34" s="3" t="s">
        <v>40</v>
      </c>
      <c r="AG34" s="13">
        <f t="shared" ref="AG34:AH34" si="100">AG33-AI33+AK33</f>
        <v>3</v>
      </c>
      <c r="AH34" s="8">
        <f t="shared" si="100"/>
        <v>3</v>
      </c>
      <c r="AI34" s="241">
        <v>0</v>
      </c>
      <c r="AJ34" s="242">
        <v>0</v>
      </c>
      <c r="AK34" s="7">
        <v>4</v>
      </c>
      <c r="AL34" s="14">
        <v>4</v>
      </c>
      <c r="AM34" s="7">
        <f t="shared" ref="AM34:AN34" si="101">AM33-AO33+AQ33</f>
        <v>2</v>
      </c>
      <c r="AN34" s="8">
        <f t="shared" si="101"/>
        <v>2</v>
      </c>
      <c r="AO34" s="241">
        <v>0</v>
      </c>
      <c r="AP34" s="242">
        <v>0</v>
      </c>
      <c r="AQ34" s="7">
        <v>2</v>
      </c>
      <c r="AR34" s="14">
        <v>2</v>
      </c>
      <c r="AS34" s="6"/>
    </row>
    <row r="35" spans="1:45" ht="15.75" x14ac:dyDescent="0.25">
      <c r="A35" s="187"/>
      <c r="B35" s="3" t="s">
        <v>57</v>
      </c>
      <c r="C35" s="15">
        <f t="shared" ref="C35:D35" si="102">C34-E34+G34</f>
        <v>1</v>
      </c>
      <c r="D35" s="6">
        <f t="shared" si="102"/>
        <v>1</v>
      </c>
      <c r="E35" s="244">
        <v>1</v>
      </c>
      <c r="F35" s="245">
        <v>1</v>
      </c>
      <c r="G35" s="244">
        <v>1</v>
      </c>
      <c r="H35" s="246">
        <v>1</v>
      </c>
      <c r="I35" s="5">
        <f t="shared" ref="I35:J35" si="103">I34-K34+M34</f>
        <v>2</v>
      </c>
      <c r="J35" s="6">
        <f t="shared" si="103"/>
        <v>2</v>
      </c>
      <c r="K35" s="5">
        <v>0</v>
      </c>
      <c r="L35" s="6">
        <v>0</v>
      </c>
      <c r="M35" s="5">
        <v>1</v>
      </c>
      <c r="N35" s="16">
        <v>1</v>
      </c>
      <c r="O35" s="187"/>
      <c r="P35" s="187"/>
      <c r="Q35" s="3" t="s">
        <v>57</v>
      </c>
      <c r="R35" s="15">
        <f t="shared" ref="R35:S35" si="104">R34-T34+V34</f>
        <v>2</v>
      </c>
      <c r="S35" s="6">
        <f t="shared" si="104"/>
        <v>2</v>
      </c>
      <c r="T35" s="244">
        <v>1</v>
      </c>
      <c r="U35" s="245">
        <v>1</v>
      </c>
      <c r="V35" s="244">
        <v>1</v>
      </c>
      <c r="W35" s="246">
        <v>1</v>
      </c>
      <c r="X35" s="5">
        <f t="shared" ref="X35:Y35" si="105">X34-Z34+AB34</f>
        <v>2</v>
      </c>
      <c r="Y35" s="6">
        <f t="shared" si="105"/>
        <v>2</v>
      </c>
      <c r="Z35" s="5">
        <v>0</v>
      </c>
      <c r="AA35" s="6">
        <v>0</v>
      </c>
      <c r="AB35" s="5">
        <v>1</v>
      </c>
      <c r="AC35" s="16">
        <v>1</v>
      </c>
      <c r="AD35" s="187"/>
      <c r="AE35" s="187"/>
      <c r="AF35" s="3" t="s">
        <v>57</v>
      </c>
      <c r="AG35" s="15">
        <f t="shared" ref="AG35:AH35" si="106">AG34-AI34+AK34</f>
        <v>7</v>
      </c>
      <c r="AH35" s="6">
        <f t="shared" si="106"/>
        <v>7</v>
      </c>
      <c r="AI35" s="244">
        <v>1</v>
      </c>
      <c r="AJ35" s="245">
        <v>1</v>
      </c>
      <c r="AK35" s="5">
        <v>4</v>
      </c>
      <c r="AL35" s="16">
        <v>4</v>
      </c>
      <c r="AM35" s="5">
        <f t="shared" ref="AM35:AN35" si="107">AM34-AO34+AQ34</f>
        <v>4</v>
      </c>
      <c r="AN35" s="6">
        <f t="shared" si="107"/>
        <v>4</v>
      </c>
      <c r="AO35" s="244">
        <v>0</v>
      </c>
      <c r="AP35" s="245">
        <v>0</v>
      </c>
      <c r="AQ35" s="5">
        <v>2</v>
      </c>
      <c r="AR35" s="16">
        <v>2</v>
      </c>
      <c r="AS35" s="6"/>
    </row>
    <row r="36" spans="1:45" ht="15.75" x14ac:dyDescent="0.25">
      <c r="A36" s="187"/>
      <c r="B36" s="3" t="s">
        <v>59</v>
      </c>
      <c r="C36" s="13">
        <f t="shared" ref="C36:D36" si="108">C35-E35+G35</f>
        <v>1</v>
      </c>
      <c r="D36" s="8">
        <f t="shared" si="108"/>
        <v>1</v>
      </c>
      <c r="E36" s="241">
        <v>0</v>
      </c>
      <c r="F36" s="242">
        <v>1</v>
      </c>
      <c r="G36" s="241">
        <v>0</v>
      </c>
      <c r="H36" s="243">
        <v>0</v>
      </c>
      <c r="I36" s="7">
        <f t="shared" ref="I36:J36" si="109">I35-K35+M35</f>
        <v>3</v>
      </c>
      <c r="J36" s="8">
        <f t="shared" si="109"/>
        <v>3</v>
      </c>
      <c r="K36" s="7">
        <v>0</v>
      </c>
      <c r="L36" s="8">
        <v>0</v>
      </c>
      <c r="M36" s="7">
        <v>0</v>
      </c>
      <c r="N36" s="14">
        <v>0</v>
      </c>
      <c r="O36" s="187"/>
      <c r="P36" s="187"/>
      <c r="Q36" s="3" t="s">
        <v>59</v>
      </c>
      <c r="R36" s="13">
        <f t="shared" ref="R36:S36" si="110">R35-T35+V35</f>
        <v>2</v>
      </c>
      <c r="S36" s="8">
        <f t="shared" si="110"/>
        <v>2</v>
      </c>
      <c r="T36" s="241">
        <v>0</v>
      </c>
      <c r="U36" s="242">
        <v>1</v>
      </c>
      <c r="V36" s="241">
        <v>0</v>
      </c>
      <c r="W36" s="243">
        <v>0</v>
      </c>
      <c r="X36" s="7">
        <f t="shared" ref="X36:Y36" si="111">X35-Z35+AB35</f>
        <v>3</v>
      </c>
      <c r="Y36" s="8">
        <f t="shared" si="111"/>
        <v>3</v>
      </c>
      <c r="Z36" s="7">
        <v>0</v>
      </c>
      <c r="AA36" s="8">
        <v>0</v>
      </c>
      <c r="AB36" s="7">
        <v>0</v>
      </c>
      <c r="AC36" s="14">
        <v>0</v>
      </c>
      <c r="AD36" s="187"/>
      <c r="AE36" s="187"/>
      <c r="AF36" s="3" t="s">
        <v>59</v>
      </c>
      <c r="AG36" s="13">
        <f t="shared" ref="AG36:AH36" si="112">AG35-AI35+AK35</f>
        <v>10</v>
      </c>
      <c r="AH36" s="8">
        <f t="shared" si="112"/>
        <v>10</v>
      </c>
      <c r="AI36" s="241">
        <v>0</v>
      </c>
      <c r="AJ36" s="242">
        <v>1</v>
      </c>
      <c r="AK36" s="7">
        <v>5</v>
      </c>
      <c r="AL36" s="14">
        <v>5</v>
      </c>
      <c r="AM36" s="7">
        <f t="shared" ref="AM36:AN36" si="113">AM35-AO35+AQ35</f>
        <v>6</v>
      </c>
      <c r="AN36" s="8">
        <f t="shared" si="113"/>
        <v>6</v>
      </c>
      <c r="AO36" s="241">
        <v>0</v>
      </c>
      <c r="AP36" s="242">
        <v>0</v>
      </c>
      <c r="AQ36" s="7">
        <v>3</v>
      </c>
      <c r="AR36" s="14">
        <v>3</v>
      </c>
      <c r="AS36" s="6"/>
    </row>
    <row r="37" spans="1:45" ht="15.75" x14ac:dyDescent="0.25">
      <c r="A37" s="187"/>
      <c r="B37" s="3" t="s">
        <v>61</v>
      </c>
      <c r="C37" s="15">
        <f t="shared" ref="C37:D37" si="114">C36-E36+G36</f>
        <v>1</v>
      </c>
      <c r="D37" s="6">
        <f t="shared" si="114"/>
        <v>0</v>
      </c>
      <c r="E37" s="244">
        <v>0</v>
      </c>
      <c r="F37" s="245">
        <v>0</v>
      </c>
      <c r="G37" s="244">
        <v>0</v>
      </c>
      <c r="H37" s="246">
        <v>0</v>
      </c>
      <c r="I37" s="5">
        <f t="shared" ref="I37:J37" si="115">I36-K36+M36</f>
        <v>3</v>
      </c>
      <c r="J37" s="6">
        <f t="shared" si="115"/>
        <v>3</v>
      </c>
      <c r="K37" s="5">
        <v>0</v>
      </c>
      <c r="L37" s="6">
        <v>1</v>
      </c>
      <c r="M37" s="5">
        <v>1</v>
      </c>
      <c r="N37" s="16">
        <v>1</v>
      </c>
      <c r="O37" s="187"/>
      <c r="P37" s="187"/>
      <c r="Q37" s="3" t="s">
        <v>61</v>
      </c>
      <c r="R37" s="15">
        <f t="shared" ref="R37:S37" si="116">R36-T36+V36</f>
        <v>2</v>
      </c>
      <c r="S37" s="6">
        <f t="shared" si="116"/>
        <v>1</v>
      </c>
      <c r="T37" s="244">
        <v>0</v>
      </c>
      <c r="U37" s="245">
        <v>0</v>
      </c>
      <c r="V37" s="244">
        <v>0</v>
      </c>
      <c r="W37" s="246">
        <v>0</v>
      </c>
      <c r="X37" s="5">
        <f t="shared" ref="X37:Y37" si="117">X36-Z36+AB36</f>
        <v>3</v>
      </c>
      <c r="Y37" s="6">
        <f t="shared" si="117"/>
        <v>3</v>
      </c>
      <c r="Z37" s="5">
        <v>0</v>
      </c>
      <c r="AA37" s="6">
        <v>1</v>
      </c>
      <c r="AB37" s="5">
        <v>1</v>
      </c>
      <c r="AC37" s="16">
        <v>1</v>
      </c>
      <c r="AD37" s="187"/>
      <c r="AE37" s="187"/>
      <c r="AF37" s="3" t="s">
        <v>61</v>
      </c>
      <c r="AG37" s="15">
        <f t="shared" ref="AG37:AH37" si="118">AG36-AI36+AK36</f>
        <v>15</v>
      </c>
      <c r="AH37" s="6">
        <f t="shared" si="118"/>
        <v>14</v>
      </c>
      <c r="AI37" s="244">
        <v>0</v>
      </c>
      <c r="AJ37" s="245">
        <v>0</v>
      </c>
      <c r="AK37" s="5">
        <v>4</v>
      </c>
      <c r="AL37" s="16">
        <v>4</v>
      </c>
      <c r="AM37" s="5">
        <f t="shared" ref="AM37:AN37" si="119">AM36-AO36+AQ36</f>
        <v>9</v>
      </c>
      <c r="AN37" s="6">
        <f t="shared" si="119"/>
        <v>9</v>
      </c>
      <c r="AO37" s="244">
        <v>0</v>
      </c>
      <c r="AP37" s="245">
        <v>1</v>
      </c>
      <c r="AQ37" s="5">
        <v>3</v>
      </c>
      <c r="AR37" s="16">
        <v>3</v>
      </c>
      <c r="AS37" s="6"/>
    </row>
    <row r="38" spans="1:45" ht="15.75" x14ac:dyDescent="0.25">
      <c r="A38" s="187"/>
      <c r="B38" s="3" t="s">
        <v>63</v>
      </c>
      <c r="C38" s="13">
        <f t="shared" ref="C38:D38" si="120">C37-E37+G37</f>
        <v>1</v>
      </c>
      <c r="D38" s="8">
        <f t="shared" si="120"/>
        <v>0</v>
      </c>
      <c r="E38" s="241">
        <v>0</v>
      </c>
      <c r="F38" s="242">
        <v>0</v>
      </c>
      <c r="G38" s="241">
        <v>0</v>
      </c>
      <c r="H38" s="243">
        <v>0</v>
      </c>
      <c r="I38" s="7">
        <f t="shared" ref="I38:J38" si="121">I37-K37+M37</f>
        <v>4</v>
      </c>
      <c r="J38" s="8">
        <f t="shared" si="121"/>
        <v>3</v>
      </c>
      <c r="K38" s="7">
        <v>0</v>
      </c>
      <c r="L38" s="8">
        <v>1</v>
      </c>
      <c r="M38" s="7">
        <v>1</v>
      </c>
      <c r="N38" s="14">
        <v>1</v>
      </c>
      <c r="O38" s="187"/>
      <c r="P38" s="187"/>
      <c r="Q38" s="3" t="s">
        <v>63</v>
      </c>
      <c r="R38" s="13">
        <f t="shared" ref="R38:S38" si="122">R37-T37+V37</f>
        <v>2</v>
      </c>
      <c r="S38" s="8">
        <f t="shared" si="122"/>
        <v>1</v>
      </c>
      <c r="T38" s="241">
        <v>0</v>
      </c>
      <c r="U38" s="242">
        <v>0</v>
      </c>
      <c r="V38" s="241">
        <v>0</v>
      </c>
      <c r="W38" s="243">
        <v>0</v>
      </c>
      <c r="X38" s="7">
        <f t="shared" ref="X38:Y38" si="123">X37-Z37+AB37</f>
        <v>4</v>
      </c>
      <c r="Y38" s="8">
        <f t="shared" si="123"/>
        <v>3</v>
      </c>
      <c r="Z38" s="7">
        <v>0</v>
      </c>
      <c r="AA38" s="8">
        <v>1</v>
      </c>
      <c r="AB38" s="7">
        <v>1</v>
      </c>
      <c r="AC38" s="14">
        <v>1</v>
      </c>
      <c r="AD38" s="187"/>
      <c r="AE38" s="187"/>
      <c r="AF38" s="3" t="s">
        <v>63</v>
      </c>
      <c r="AG38" s="13">
        <f t="shared" ref="AG38:AH38" si="124">AG37-AI37+AK37</f>
        <v>19</v>
      </c>
      <c r="AH38" s="8">
        <f t="shared" si="124"/>
        <v>18</v>
      </c>
      <c r="AI38" s="241">
        <v>0</v>
      </c>
      <c r="AJ38" s="242">
        <v>0</v>
      </c>
      <c r="AK38" s="7">
        <v>4</v>
      </c>
      <c r="AL38" s="14">
        <v>4</v>
      </c>
      <c r="AM38" s="7">
        <f t="shared" ref="AM38:AN38" si="125">AM37-AO37+AQ37</f>
        <v>12</v>
      </c>
      <c r="AN38" s="8">
        <f t="shared" si="125"/>
        <v>11</v>
      </c>
      <c r="AO38" s="241">
        <v>0</v>
      </c>
      <c r="AP38" s="242">
        <v>1</v>
      </c>
      <c r="AQ38" s="7">
        <v>2</v>
      </c>
      <c r="AR38" s="14">
        <v>2</v>
      </c>
      <c r="AS38" s="6"/>
    </row>
    <row r="39" spans="1:45" ht="15.75" x14ac:dyDescent="0.25">
      <c r="A39" s="187"/>
      <c r="B39" s="3" t="s">
        <v>66</v>
      </c>
      <c r="C39" s="15">
        <f t="shared" ref="C39:D39" si="126">C38-E38+G38</f>
        <v>1</v>
      </c>
      <c r="D39" s="6">
        <f t="shared" si="126"/>
        <v>0</v>
      </c>
      <c r="E39" s="244">
        <v>1</v>
      </c>
      <c r="F39" s="245">
        <v>0</v>
      </c>
      <c r="G39" s="244">
        <v>0</v>
      </c>
      <c r="H39" s="246">
        <v>0</v>
      </c>
      <c r="I39" s="5">
        <f t="shared" ref="I39:J39" si="127">I38-K38+M38</f>
        <v>5</v>
      </c>
      <c r="J39" s="6">
        <f t="shared" si="127"/>
        <v>3</v>
      </c>
      <c r="K39" s="5">
        <v>1</v>
      </c>
      <c r="L39" s="6">
        <v>2</v>
      </c>
      <c r="M39" s="5">
        <v>0</v>
      </c>
      <c r="N39" s="16">
        <v>0</v>
      </c>
      <c r="O39" s="187"/>
      <c r="P39" s="187"/>
      <c r="Q39" s="3" t="s">
        <v>66</v>
      </c>
      <c r="R39" s="15">
        <f t="shared" ref="R39:S39" si="128">R38-T38+V38</f>
        <v>2</v>
      </c>
      <c r="S39" s="6">
        <f t="shared" si="128"/>
        <v>1</v>
      </c>
      <c r="T39" s="244">
        <v>1</v>
      </c>
      <c r="U39" s="245">
        <v>0</v>
      </c>
      <c r="V39" s="244">
        <v>0</v>
      </c>
      <c r="W39" s="246">
        <v>0</v>
      </c>
      <c r="X39" s="5">
        <f t="shared" ref="X39:Y39" si="129">X38-Z38+AB38</f>
        <v>5</v>
      </c>
      <c r="Y39" s="6">
        <f t="shared" si="129"/>
        <v>3</v>
      </c>
      <c r="Z39" s="5">
        <v>1</v>
      </c>
      <c r="AA39" s="6">
        <v>2</v>
      </c>
      <c r="AB39" s="5">
        <v>0</v>
      </c>
      <c r="AC39" s="16">
        <v>0</v>
      </c>
      <c r="AD39" s="187"/>
      <c r="AE39" s="187"/>
      <c r="AF39" s="3" t="s">
        <v>66</v>
      </c>
      <c r="AG39" s="15">
        <f t="shared" ref="AG39:AH39" si="130">AG38-AI38+AK38</f>
        <v>23</v>
      </c>
      <c r="AH39" s="6">
        <f t="shared" si="130"/>
        <v>22</v>
      </c>
      <c r="AI39" s="244">
        <v>1</v>
      </c>
      <c r="AJ39" s="245">
        <v>0</v>
      </c>
      <c r="AK39" s="5">
        <v>1</v>
      </c>
      <c r="AL39" s="16">
        <v>1</v>
      </c>
      <c r="AM39" s="5">
        <f t="shared" ref="AM39:AN39" si="131">AM38-AO38+AQ38</f>
        <v>14</v>
      </c>
      <c r="AN39" s="6">
        <f t="shared" si="131"/>
        <v>12</v>
      </c>
      <c r="AO39" s="244">
        <v>1</v>
      </c>
      <c r="AP39" s="245">
        <v>2</v>
      </c>
      <c r="AQ39" s="5">
        <v>1</v>
      </c>
      <c r="AR39" s="16">
        <v>1</v>
      </c>
      <c r="AS39" s="6"/>
    </row>
    <row r="40" spans="1:45" ht="15.75" x14ac:dyDescent="0.25">
      <c r="A40" s="187"/>
      <c r="B40" s="3" t="s">
        <v>45</v>
      </c>
      <c r="C40" s="13">
        <f t="shared" ref="C40:D40" si="132">C39-E39+G39</f>
        <v>0</v>
      </c>
      <c r="D40" s="8">
        <f t="shared" si="132"/>
        <v>0</v>
      </c>
      <c r="E40" s="241">
        <v>1</v>
      </c>
      <c r="F40" s="242">
        <v>1</v>
      </c>
      <c r="G40" s="241">
        <v>2</v>
      </c>
      <c r="H40" s="243">
        <v>2</v>
      </c>
      <c r="I40" s="7">
        <f t="shared" ref="I40:J40" si="133">I39-K39+M39</f>
        <v>4</v>
      </c>
      <c r="J40" s="8">
        <f t="shared" si="133"/>
        <v>1</v>
      </c>
      <c r="K40" s="7">
        <v>1</v>
      </c>
      <c r="L40" s="8">
        <v>1</v>
      </c>
      <c r="M40" s="7">
        <v>2</v>
      </c>
      <c r="N40" s="14">
        <v>2</v>
      </c>
      <c r="O40" s="187"/>
      <c r="P40" s="187"/>
      <c r="Q40" s="3" t="s">
        <v>45</v>
      </c>
      <c r="R40" s="13">
        <f t="shared" ref="R40:S40" si="134">R39-T39+V39</f>
        <v>1</v>
      </c>
      <c r="S40" s="8">
        <f t="shared" si="134"/>
        <v>1</v>
      </c>
      <c r="T40" s="241">
        <v>1</v>
      </c>
      <c r="U40" s="242">
        <v>1</v>
      </c>
      <c r="V40" s="241">
        <v>2</v>
      </c>
      <c r="W40" s="243">
        <v>2</v>
      </c>
      <c r="X40" s="7">
        <f t="shared" ref="X40:Y40" si="135">X39-Z39+AB39</f>
        <v>4</v>
      </c>
      <c r="Y40" s="8">
        <f t="shared" si="135"/>
        <v>1</v>
      </c>
      <c r="Z40" s="7">
        <v>1</v>
      </c>
      <c r="AA40" s="8">
        <v>1</v>
      </c>
      <c r="AB40" s="7">
        <v>2</v>
      </c>
      <c r="AC40" s="14">
        <v>2</v>
      </c>
      <c r="AD40" s="187"/>
      <c r="AE40" s="187"/>
      <c r="AF40" s="3" t="s">
        <v>45</v>
      </c>
      <c r="AG40" s="13">
        <f t="shared" ref="AG40:AH40" si="136">AG39-AI39+AK39</f>
        <v>23</v>
      </c>
      <c r="AH40" s="8">
        <f t="shared" si="136"/>
        <v>23</v>
      </c>
      <c r="AI40" s="241">
        <v>1</v>
      </c>
      <c r="AJ40" s="242">
        <v>1</v>
      </c>
      <c r="AK40" s="7">
        <v>6</v>
      </c>
      <c r="AL40" s="14">
        <v>6</v>
      </c>
      <c r="AM40" s="7">
        <f t="shared" ref="AM40:AN40" si="137">AM39-AO39+AQ39</f>
        <v>14</v>
      </c>
      <c r="AN40" s="8">
        <f t="shared" si="137"/>
        <v>11</v>
      </c>
      <c r="AO40" s="241">
        <v>1</v>
      </c>
      <c r="AP40" s="242">
        <v>1</v>
      </c>
      <c r="AQ40" s="7">
        <v>3</v>
      </c>
      <c r="AR40" s="14">
        <v>3</v>
      </c>
      <c r="AS40" s="6"/>
    </row>
    <row r="41" spans="1:45" ht="15.75" x14ac:dyDescent="0.25">
      <c r="A41" s="187"/>
      <c r="B41" s="3" t="s">
        <v>70</v>
      </c>
      <c r="C41" s="15">
        <f t="shared" ref="C41:D41" si="138">C40-E40+G40</f>
        <v>1</v>
      </c>
      <c r="D41" s="6">
        <f t="shared" si="138"/>
        <v>1</v>
      </c>
      <c r="E41" s="244">
        <v>1</v>
      </c>
      <c r="F41" s="245">
        <v>0</v>
      </c>
      <c r="G41" s="244">
        <v>1</v>
      </c>
      <c r="H41" s="246">
        <v>1</v>
      </c>
      <c r="I41" s="5">
        <f t="shared" ref="I41:J41" si="139">I40-K40+M40</f>
        <v>5</v>
      </c>
      <c r="J41" s="6">
        <f t="shared" si="139"/>
        <v>2</v>
      </c>
      <c r="K41" s="5">
        <v>0</v>
      </c>
      <c r="L41" s="6">
        <v>1</v>
      </c>
      <c r="M41" s="5">
        <v>0</v>
      </c>
      <c r="N41" s="16">
        <v>0</v>
      </c>
      <c r="O41" s="187"/>
      <c r="P41" s="187"/>
      <c r="Q41" s="3" t="s">
        <v>70</v>
      </c>
      <c r="R41" s="15">
        <f t="shared" ref="R41:S41" si="140">R40-T40+V40</f>
        <v>2</v>
      </c>
      <c r="S41" s="6">
        <f t="shared" si="140"/>
        <v>2</v>
      </c>
      <c r="T41" s="244">
        <v>1</v>
      </c>
      <c r="U41" s="245">
        <v>0</v>
      </c>
      <c r="V41" s="244">
        <v>1</v>
      </c>
      <c r="W41" s="246">
        <v>1</v>
      </c>
      <c r="X41" s="5">
        <f t="shared" ref="X41:Y41" si="141">X40-Z40+AB40</f>
        <v>5</v>
      </c>
      <c r="Y41" s="6">
        <f t="shared" si="141"/>
        <v>2</v>
      </c>
      <c r="Z41" s="5">
        <v>0</v>
      </c>
      <c r="AA41" s="6">
        <v>1</v>
      </c>
      <c r="AB41" s="5">
        <v>0</v>
      </c>
      <c r="AC41" s="16">
        <v>0</v>
      </c>
      <c r="AD41" s="187"/>
      <c r="AE41" s="187"/>
      <c r="AF41" s="3" t="s">
        <v>70</v>
      </c>
      <c r="AG41" s="15">
        <f t="shared" ref="AG41:AH41" si="142">AG40-AI40+AK40</f>
        <v>28</v>
      </c>
      <c r="AH41" s="6">
        <f t="shared" si="142"/>
        <v>28</v>
      </c>
      <c r="AI41" s="244">
        <v>1</v>
      </c>
      <c r="AJ41" s="245">
        <v>0</v>
      </c>
      <c r="AK41" s="5">
        <v>1</v>
      </c>
      <c r="AL41" s="16">
        <v>1</v>
      </c>
      <c r="AM41" s="5">
        <f t="shared" ref="AM41:AN41" si="143">AM40-AO40+AQ40</f>
        <v>16</v>
      </c>
      <c r="AN41" s="6">
        <f t="shared" si="143"/>
        <v>13</v>
      </c>
      <c r="AO41" s="244">
        <v>0</v>
      </c>
      <c r="AP41" s="245">
        <v>1</v>
      </c>
      <c r="AQ41" s="5">
        <v>0</v>
      </c>
      <c r="AR41" s="16">
        <v>0</v>
      </c>
      <c r="AS41" s="6"/>
    </row>
    <row r="42" spans="1:45" ht="15.75" x14ac:dyDescent="0.25">
      <c r="A42" s="187"/>
      <c r="B42" s="3" t="s">
        <v>47</v>
      </c>
      <c r="C42" s="13">
        <f t="shared" ref="C42:D42" si="144">C41-E41+G41</f>
        <v>1</v>
      </c>
      <c r="D42" s="8">
        <f t="shared" si="144"/>
        <v>2</v>
      </c>
      <c r="E42" s="241">
        <v>1</v>
      </c>
      <c r="F42" s="242">
        <v>0</v>
      </c>
      <c r="G42" s="241">
        <v>0</v>
      </c>
      <c r="H42" s="243">
        <v>0</v>
      </c>
      <c r="I42" s="7">
        <f t="shared" ref="I42:J42" si="145">I41-K41+M41</f>
        <v>5</v>
      </c>
      <c r="J42" s="8">
        <f t="shared" si="145"/>
        <v>1</v>
      </c>
      <c r="K42" s="7">
        <v>1</v>
      </c>
      <c r="L42" s="8">
        <v>2</v>
      </c>
      <c r="M42" s="7">
        <v>1</v>
      </c>
      <c r="N42" s="14">
        <v>1</v>
      </c>
      <c r="O42" s="187"/>
      <c r="P42" s="187"/>
      <c r="Q42" s="3" t="s">
        <v>47</v>
      </c>
      <c r="R42" s="13">
        <f t="shared" ref="R42:S42" si="146">R41-T41+V41</f>
        <v>2</v>
      </c>
      <c r="S42" s="8">
        <f t="shared" si="146"/>
        <v>3</v>
      </c>
      <c r="T42" s="241">
        <v>1</v>
      </c>
      <c r="U42" s="242">
        <v>0</v>
      </c>
      <c r="V42" s="241">
        <v>0</v>
      </c>
      <c r="W42" s="243">
        <v>0</v>
      </c>
      <c r="X42" s="7">
        <f t="shared" ref="X42:Y42" si="147">X41-Z41+AB41</f>
        <v>5</v>
      </c>
      <c r="Y42" s="8">
        <f t="shared" si="147"/>
        <v>1</v>
      </c>
      <c r="Z42" s="7">
        <v>1</v>
      </c>
      <c r="AA42" s="8">
        <v>2</v>
      </c>
      <c r="AB42" s="7">
        <v>1</v>
      </c>
      <c r="AC42" s="14">
        <v>1</v>
      </c>
      <c r="AD42" s="187"/>
      <c r="AE42" s="187"/>
      <c r="AF42" s="3" t="s">
        <v>47</v>
      </c>
      <c r="AG42" s="13">
        <f t="shared" ref="AG42:AH42" si="148">AG41-AI41+AK41</f>
        <v>28</v>
      </c>
      <c r="AH42" s="8">
        <f t="shared" si="148"/>
        <v>29</v>
      </c>
      <c r="AI42" s="241">
        <v>1</v>
      </c>
      <c r="AJ42" s="242">
        <v>0</v>
      </c>
      <c r="AK42" s="7">
        <v>1</v>
      </c>
      <c r="AL42" s="14">
        <v>1</v>
      </c>
      <c r="AM42" s="7">
        <f t="shared" ref="AM42:AN42" si="149">AM41-AO41+AQ41</f>
        <v>16</v>
      </c>
      <c r="AN42" s="8">
        <f t="shared" si="149"/>
        <v>12</v>
      </c>
      <c r="AO42" s="241">
        <v>1</v>
      </c>
      <c r="AP42" s="242">
        <v>2</v>
      </c>
      <c r="AQ42" s="7">
        <v>2</v>
      </c>
      <c r="AR42" s="14">
        <v>2</v>
      </c>
      <c r="AS42" s="6"/>
    </row>
    <row r="43" spans="1:45" ht="15.75" x14ac:dyDescent="0.25">
      <c r="A43" s="187"/>
      <c r="B43" s="3" t="s">
        <v>74</v>
      </c>
      <c r="C43" s="15">
        <f t="shared" ref="C43:D43" si="150">C42-E42+G42</f>
        <v>0</v>
      </c>
      <c r="D43" s="6">
        <f t="shared" si="150"/>
        <v>2</v>
      </c>
      <c r="E43" s="244">
        <v>1</v>
      </c>
      <c r="F43" s="245">
        <v>1</v>
      </c>
      <c r="G43" s="244">
        <v>2</v>
      </c>
      <c r="H43" s="246">
        <v>2</v>
      </c>
      <c r="I43" s="5">
        <f t="shared" ref="I43:J43" si="151">I42-K42+M42</f>
        <v>5</v>
      </c>
      <c r="J43" s="6">
        <f t="shared" si="151"/>
        <v>0</v>
      </c>
      <c r="K43" s="5">
        <v>0</v>
      </c>
      <c r="L43" s="6">
        <v>0</v>
      </c>
      <c r="M43" s="5">
        <v>0</v>
      </c>
      <c r="N43" s="16">
        <v>0</v>
      </c>
      <c r="O43" s="187"/>
      <c r="P43" s="187"/>
      <c r="Q43" s="3" t="s">
        <v>74</v>
      </c>
      <c r="R43" s="15">
        <f t="shared" ref="R43:S43" si="152">R42-T42+V42</f>
        <v>1</v>
      </c>
      <c r="S43" s="6">
        <f t="shared" si="152"/>
        <v>3</v>
      </c>
      <c r="T43" s="244">
        <v>1</v>
      </c>
      <c r="U43" s="245">
        <v>1</v>
      </c>
      <c r="V43" s="244">
        <v>2</v>
      </c>
      <c r="W43" s="246">
        <v>2</v>
      </c>
      <c r="X43" s="5">
        <f t="shared" ref="X43:Y43" si="153">X42-Z42+AB42</f>
        <v>5</v>
      </c>
      <c r="Y43" s="6">
        <f t="shared" si="153"/>
        <v>0</v>
      </c>
      <c r="Z43" s="5">
        <v>0</v>
      </c>
      <c r="AA43" s="6">
        <v>0</v>
      </c>
      <c r="AB43" s="5">
        <v>0</v>
      </c>
      <c r="AC43" s="16">
        <v>0</v>
      </c>
      <c r="AD43" s="187"/>
      <c r="AE43" s="187"/>
      <c r="AF43" s="3" t="s">
        <v>74</v>
      </c>
      <c r="AG43" s="15">
        <f t="shared" ref="AG43:AH43" si="154">AG42-AI42+AK42</f>
        <v>28</v>
      </c>
      <c r="AH43" s="6">
        <f t="shared" si="154"/>
        <v>30</v>
      </c>
      <c r="AI43" s="244">
        <v>1</v>
      </c>
      <c r="AJ43" s="245">
        <v>1</v>
      </c>
      <c r="AK43" s="5">
        <v>3</v>
      </c>
      <c r="AL43" s="16">
        <v>3</v>
      </c>
      <c r="AM43" s="5">
        <f t="shared" ref="AM43:AN43" si="155">AM42-AO42+AQ42</f>
        <v>17</v>
      </c>
      <c r="AN43" s="6">
        <f t="shared" si="155"/>
        <v>12</v>
      </c>
      <c r="AO43" s="244">
        <v>0</v>
      </c>
      <c r="AP43" s="245">
        <v>0</v>
      </c>
      <c r="AQ43" s="5">
        <v>3</v>
      </c>
      <c r="AR43" s="16">
        <v>3</v>
      </c>
      <c r="AS43" s="6"/>
    </row>
    <row r="44" spans="1:45" ht="15.75" x14ac:dyDescent="0.25">
      <c r="A44" s="187"/>
      <c r="B44" s="3" t="s">
        <v>76</v>
      </c>
      <c r="C44" s="13">
        <f t="shared" ref="C44:D44" si="156">C43-E43+G43</f>
        <v>1</v>
      </c>
      <c r="D44" s="8">
        <f t="shared" si="156"/>
        <v>3</v>
      </c>
      <c r="E44" s="241">
        <v>1</v>
      </c>
      <c r="F44" s="242">
        <v>2</v>
      </c>
      <c r="G44" s="241">
        <v>3</v>
      </c>
      <c r="H44" s="243">
        <v>3</v>
      </c>
      <c r="I44" s="7">
        <f t="shared" ref="I44:J44" si="157">I43-K43+M43</f>
        <v>5</v>
      </c>
      <c r="J44" s="8">
        <f t="shared" si="157"/>
        <v>0</v>
      </c>
      <c r="K44" s="7">
        <v>0</v>
      </c>
      <c r="L44" s="8">
        <v>0</v>
      </c>
      <c r="M44" s="7">
        <v>0</v>
      </c>
      <c r="N44" s="14">
        <v>0</v>
      </c>
      <c r="O44" s="187"/>
      <c r="P44" s="187"/>
      <c r="Q44" s="3" t="s">
        <v>76</v>
      </c>
      <c r="R44" s="13">
        <f t="shared" ref="R44:S44" si="158">R43-T43+V43</f>
        <v>2</v>
      </c>
      <c r="S44" s="8">
        <f t="shared" si="158"/>
        <v>4</v>
      </c>
      <c r="T44" s="241">
        <v>1</v>
      </c>
      <c r="U44" s="242">
        <v>2</v>
      </c>
      <c r="V44" s="241">
        <v>3</v>
      </c>
      <c r="W44" s="243">
        <v>3</v>
      </c>
      <c r="X44" s="7">
        <f t="shared" ref="X44:Y44" si="159">X43-Z43+AB43</f>
        <v>5</v>
      </c>
      <c r="Y44" s="8">
        <f t="shared" si="159"/>
        <v>0</v>
      </c>
      <c r="Z44" s="7">
        <v>0</v>
      </c>
      <c r="AA44" s="8">
        <v>0</v>
      </c>
      <c r="AB44" s="7">
        <v>0</v>
      </c>
      <c r="AC44" s="14">
        <v>0</v>
      </c>
      <c r="AD44" s="187"/>
      <c r="AE44" s="187"/>
      <c r="AF44" s="3" t="s">
        <v>76</v>
      </c>
      <c r="AG44" s="13">
        <f t="shared" ref="AG44:AH44" si="160">AG43-AI43+AK43</f>
        <v>30</v>
      </c>
      <c r="AH44" s="8">
        <f t="shared" si="160"/>
        <v>32</v>
      </c>
      <c r="AI44" s="241">
        <v>1</v>
      </c>
      <c r="AJ44" s="242">
        <v>2</v>
      </c>
      <c r="AK44" s="7">
        <v>6</v>
      </c>
      <c r="AL44" s="14">
        <v>6</v>
      </c>
      <c r="AM44" s="7">
        <f t="shared" ref="AM44:AN44" si="161">AM43-AO43+AQ43</f>
        <v>20</v>
      </c>
      <c r="AN44" s="8">
        <f t="shared" si="161"/>
        <v>15</v>
      </c>
      <c r="AO44" s="241">
        <v>0</v>
      </c>
      <c r="AP44" s="242">
        <v>0</v>
      </c>
      <c r="AQ44" s="7">
        <v>2</v>
      </c>
      <c r="AR44" s="14">
        <v>2</v>
      </c>
      <c r="AS44" s="6"/>
    </row>
    <row r="45" spans="1:45" ht="15.75" x14ac:dyDescent="0.25">
      <c r="A45" s="187"/>
      <c r="B45" s="3" t="s">
        <v>79</v>
      </c>
      <c r="C45" s="15">
        <f t="shared" ref="C45:D45" si="162">C44-E44+G44</f>
        <v>3</v>
      </c>
      <c r="D45" s="6">
        <f t="shared" si="162"/>
        <v>4</v>
      </c>
      <c r="E45" s="244">
        <v>0</v>
      </c>
      <c r="F45" s="245">
        <v>2</v>
      </c>
      <c r="G45" s="244">
        <v>1</v>
      </c>
      <c r="H45" s="246">
        <v>1</v>
      </c>
      <c r="I45" s="5">
        <f t="shared" ref="I45:J45" si="163">I44-K44+M44</f>
        <v>5</v>
      </c>
      <c r="J45" s="6">
        <f t="shared" si="163"/>
        <v>0</v>
      </c>
      <c r="K45" s="5">
        <v>1</v>
      </c>
      <c r="L45" s="6">
        <v>0</v>
      </c>
      <c r="M45" s="5">
        <v>0</v>
      </c>
      <c r="N45" s="16">
        <v>0</v>
      </c>
      <c r="O45" s="187"/>
      <c r="P45" s="187"/>
      <c r="Q45" s="3" t="s">
        <v>79</v>
      </c>
      <c r="R45" s="15">
        <f t="shared" ref="R45:S45" si="164">R44-T44+V44</f>
        <v>4</v>
      </c>
      <c r="S45" s="6">
        <f t="shared" si="164"/>
        <v>5</v>
      </c>
      <c r="T45" s="244">
        <v>0</v>
      </c>
      <c r="U45" s="245">
        <v>2</v>
      </c>
      <c r="V45" s="244">
        <v>1</v>
      </c>
      <c r="W45" s="246">
        <v>1</v>
      </c>
      <c r="X45" s="5">
        <f t="shared" ref="X45:Y45" si="165">X44-Z44+AB44</f>
        <v>5</v>
      </c>
      <c r="Y45" s="6">
        <f t="shared" si="165"/>
        <v>0</v>
      </c>
      <c r="Z45" s="5">
        <v>1</v>
      </c>
      <c r="AA45" s="6">
        <v>0</v>
      </c>
      <c r="AB45" s="5">
        <v>0</v>
      </c>
      <c r="AC45" s="16">
        <v>0</v>
      </c>
      <c r="AD45" s="187"/>
      <c r="AE45" s="187"/>
      <c r="AF45" s="3" t="s">
        <v>79</v>
      </c>
      <c r="AG45" s="15">
        <f t="shared" ref="AG45:AH45" si="166">AG44-AI44+AK44</f>
        <v>35</v>
      </c>
      <c r="AH45" s="6">
        <f t="shared" si="166"/>
        <v>36</v>
      </c>
      <c r="AI45" s="244">
        <v>0</v>
      </c>
      <c r="AJ45" s="245">
        <v>2</v>
      </c>
      <c r="AK45" s="5">
        <v>3</v>
      </c>
      <c r="AL45" s="16">
        <v>3</v>
      </c>
      <c r="AM45" s="5">
        <f t="shared" ref="AM45:AN45" si="167">AM44-AO44+AQ44</f>
        <v>22</v>
      </c>
      <c r="AN45" s="6">
        <f t="shared" si="167"/>
        <v>17</v>
      </c>
      <c r="AO45" s="244">
        <v>1</v>
      </c>
      <c r="AP45" s="245">
        <v>0</v>
      </c>
      <c r="AQ45" s="5">
        <v>4</v>
      </c>
      <c r="AR45" s="16">
        <v>4</v>
      </c>
      <c r="AS45" s="6"/>
    </row>
    <row r="46" spans="1:45" ht="15.75" x14ac:dyDescent="0.25">
      <c r="A46" s="187"/>
      <c r="B46" s="3" t="s">
        <v>51</v>
      </c>
      <c r="C46" s="13">
        <f t="shared" ref="C46:D46" si="168">C45-E45+G45</f>
        <v>4</v>
      </c>
      <c r="D46" s="8">
        <f t="shared" si="168"/>
        <v>3</v>
      </c>
      <c r="E46" s="241">
        <v>0</v>
      </c>
      <c r="F46" s="242">
        <v>2</v>
      </c>
      <c r="G46" s="241">
        <v>0</v>
      </c>
      <c r="H46" s="243">
        <v>0</v>
      </c>
      <c r="I46" s="7">
        <f t="shared" ref="I46:J46" si="169">I45-K45+M45</f>
        <v>4</v>
      </c>
      <c r="J46" s="8">
        <f t="shared" si="169"/>
        <v>0</v>
      </c>
      <c r="K46" s="7">
        <v>1</v>
      </c>
      <c r="L46" s="8">
        <v>0</v>
      </c>
      <c r="M46" s="7">
        <v>1</v>
      </c>
      <c r="N46" s="14">
        <v>0</v>
      </c>
      <c r="O46" s="187"/>
      <c r="P46" s="187"/>
      <c r="Q46" s="3" t="s">
        <v>51</v>
      </c>
      <c r="R46" s="13">
        <f t="shared" ref="R46:S46" si="170">R45-T45+V45</f>
        <v>5</v>
      </c>
      <c r="S46" s="8">
        <f t="shared" si="170"/>
        <v>4</v>
      </c>
      <c r="T46" s="241">
        <v>0</v>
      </c>
      <c r="U46" s="242">
        <v>2</v>
      </c>
      <c r="V46" s="241">
        <v>0</v>
      </c>
      <c r="W46" s="243">
        <v>0</v>
      </c>
      <c r="X46" s="7">
        <f t="shared" ref="X46:Y46" si="171">X45-Z45+AB45</f>
        <v>4</v>
      </c>
      <c r="Y46" s="8">
        <f t="shared" si="171"/>
        <v>0</v>
      </c>
      <c r="Z46" s="7">
        <v>1</v>
      </c>
      <c r="AA46" s="8">
        <v>0</v>
      </c>
      <c r="AB46" s="7">
        <v>1</v>
      </c>
      <c r="AC46" s="14">
        <v>0</v>
      </c>
      <c r="AD46" s="187"/>
      <c r="AE46" s="187"/>
      <c r="AF46" s="3" t="s">
        <v>51</v>
      </c>
      <c r="AG46" s="13">
        <f t="shared" ref="AG46:AH46" si="172">AG45-AI45+AK45</f>
        <v>38</v>
      </c>
      <c r="AH46" s="8">
        <f t="shared" si="172"/>
        <v>37</v>
      </c>
      <c r="AI46" s="241">
        <v>0</v>
      </c>
      <c r="AJ46" s="242">
        <v>2</v>
      </c>
      <c r="AK46" s="7">
        <v>3</v>
      </c>
      <c r="AL46" s="14">
        <v>3</v>
      </c>
      <c r="AM46" s="7">
        <f t="shared" ref="AM46:AN46" si="173">AM45-AO45+AQ45</f>
        <v>25</v>
      </c>
      <c r="AN46" s="8">
        <f t="shared" si="173"/>
        <v>21</v>
      </c>
      <c r="AO46" s="241">
        <v>1</v>
      </c>
      <c r="AP46" s="242">
        <v>0</v>
      </c>
      <c r="AQ46" s="7">
        <v>4</v>
      </c>
      <c r="AR46" s="14">
        <v>4</v>
      </c>
      <c r="AS46" s="6"/>
    </row>
    <row r="47" spans="1:45" ht="15.75" x14ac:dyDescent="0.25">
      <c r="A47" s="187"/>
      <c r="B47" s="3" t="s">
        <v>84</v>
      </c>
      <c r="C47" s="15">
        <f t="shared" ref="C47:D47" si="174">C46-E46+G46</f>
        <v>4</v>
      </c>
      <c r="D47" s="6">
        <f t="shared" si="174"/>
        <v>1</v>
      </c>
      <c r="E47" s="244">
        <v>0</v>
      </c>
      <c r="F47" s="245">
        <v>1</v>
      </c>
      <c r="G47" s="244">
        <v>0</v>
      </c>
      <c r="H47" s="246">
        <v>0</v>
      </c>
      <c r="I47" s="5">
        <f t="shared" ref="I47:J47" si="175">I46-K46+M46</f>
        <v>4</v>
      </c>
      <c r="J47" s="6">
        <f t="shared" si="175"/>
        <v>0</v>
      </c>
      <c r="K47" s="5">
        <v>0</v>
      </c>
      <c r="L47" s="6">
        <v>0</v>
      </c>
      <c r="M47" s="5">
        <v>1</v>
      </c>
      <c r="N47" s="16">
        <v>1</v>
      </c>
      <c r="O47" s="187"/>
      <c r="P47" s="187"/>
      <c r="Q47" s="3" t="s">
        <v>84</v>
      </c>
      <c r="R47" s="15">
        <f t="shared" ref="R47:S47" si="176">R46-T46+V46</f>
        <v>5</v>
      </c>
      <c r="S47" s="6">
        <f t="shared" si="176"/>
        <v>2</v>
      </c>
      <c r="T47" s="244">
        <v>0</v>
      </c>
      <c r="U47" s="245">
        <v>1</v>
      </c>
      <c r="V47" s="244">
        <v>0</v>
      </c>
      <c r="W47" s="246">
        <v>0</v>
      </c>
      <c r="X47" s="5">
        <f t="shared" ref="X47:Y47" si="177">X46-Z46+AB46</f>
        <v>4</v>
      </c>
      <c r="Y47" s="6">
        <f t="shared" si="177"/>
        <v>0</v>
      </c>
      <c r="Z47" s="5">
        <v>0</v>
      </c>
      <c r="AA47" s="6">
        <v>0</v>
      </c>
      <c r="AB47" s="5">
        <v>1</v>
      </c>
      <c r="AC47" s="16">
        <v>1</v>
      </c>
      <c r="AD47" s="187"/>
      <c r="AE47" s="187"/>
      <c r="AF47" s="3" t="s">
        <v>84</v>
      </c>
      <c r="AG47" s="15">
        <f t="shared" ref="AG47:AH47" si="178">AG46-AI46+AK46</f>
        <v>41</v>
      </c>
      <c r="AH47" s="6">
        <f t="shared" si="178"/>
        <v>38</v>
      </c>
      <c r="AI47" s="244">
        <v>0</v>
      </c>
      <c r="AJ47" s="245">
        <v>1</v>
      </c>
      <c r="AK47" s="5">
        <v>5</v>
      </c>
      <c r="AL47" s="16">
        <v>5</v>
      </c>
      <c r="AM47" s="5">
        <f t="shared" ref="AM47:AN47" si="179">AM46-AO46+AQ46</f>
        <v>28</v>
      </c>
      <c r="AN47" s="6">
        <f t="shared" si="179"/>
        <v>25</v>
      </c>
      <c r="AO47" s="244">
        <v>0</v>
      </c>
      <c r="AP47" s="245">
        <v>0</v>
      </c>
      <c r="AQ47" s="5">
        <v>2</v>
      </c>
      <c r="AR47" s="16">
        <v>2</v>
      </c>
      <c r="AS47" s="6"/>
    </row>
    <row r="48" spans="1:45" ht="15.75" x14ac:dyDescent="0.25">
      <c r="A48" s="187"/>
      <c r="B48" s="3" t="s">
        <v>86</v>
      </c>
      <c r="C48" s="13">
        <f t="shared" ref="C48:D48" si="180">C47-E47+G47</f>
        <v>4</v>
      </c>
      <c r="D48" s="8">
        <f t="shared" si="180"/>
        <v>0</v>
      </c>
      <c r="E48" s="241">
        <v>4</v>
      </c>
      <c r="F48" s="242">
        <v>0</v>
      </c>
      <c r="G48" s="241">
        <v>0</v>
      </c>
      <c r="H48" s="243">
        <v>0</v>
      </c>
      <c r="I48" s="7">
        <f t="shared" ref="I48:J48" si="181">I47-K47+M47</f>
        <v>5</v>
      </c>
      <c r="J48" s="8">
        <f t="shared" si="181"/>
        <v>1</v>
      </c>
      <c r="K48" s="7">
        <v>3</v>
      </c>
      <c r="L48" s="8">
        <v>2</v>
      </c>
      <c r="M48" s="7">
        <v>1</v>
      </c>
      <c r="N48" s="14">
        <v>1</v>
      </c>
      <c r="O48" s="187"/>
      <c r="P48" s="187"/>
      <c r="Q48" s="3" t="s">
        <v>86</v>
      </c>
      <c r="R48" s="13">
        <f t="shared" ref="R48:S48" si="182">R47-T47+V47</f>
        <v>5</v>
      </c>
      <c r="S48" s="8">
        <f t="shared" si="182"/>
        <v>1</v>
      </c>
      <c r="T48" s="241">
        <v>4</v>
      </c>
      <c r="U48" s="242">
        <v>0</v>
      </c>
      <c r="V48" s="241">
        <v>0</v>
      </c>
      <c r="W48" s="243">
        <v>0</v>
      </c>
      <c r="X48" s="7">
        <f t="shared" ref="X48:Y48" si="183">X47-Z47+AB47</f>
        <v>5</v>
      </c>
      <c r="Y48" s="8">
        <f t="shared" si="183"/>
        <v>1</v>
      </c>
      <c r="Z48" s="7">
        <v>3</v>
      </c>
      <c r="AA48" s="8">
        <v>2</v>
      </c>
      <c r="AB48" s="7">
        <v>1</v>
      </c>
      <c r="AC48" s="14">
        <v>1</v>
      </c>
      <c r="AD48" s="187"/>
      <c r="AE48" s="187"/>
      <c r="AF48" s="3" t="s">
        <v>86</v>
      </c>
      <c r="AG48" s="13">
        <f t="shared" ref="AG48:AH48" si="184">AG47-AI47+AK47</f>
        <v>46</v>
      </c>
      <c r="AH48" s="8">
        <f t="shared" si="184"/>
        <v>42</v>
      </c>
      <c r="AI48" s="241">
        <v>4</v>
      </c>
      <c r="AJ48" s="242">
        <v>0</v>
      </c>
      <c r="AK48" s="7">
        <v>3</v>
      </c>
      <c r="AL48" s="14">
        <v>3</v>
      </c>
      <c r="AM48" s="7">
        <f t="shared" ref="AM48:AN48" si="185">AM47-AO47+AQ47</f>
        <v>30</v>
      </c>
      <c r="AN48" s="8">
        <f t="shared" si="185"/>
        <v>27</v>
      </c>
      <c r="AO48" s="241">
        <v>3</v>
      </c>
      <c r="AP48" s="242">
        <v>2</v>
      </c>
      <c r="AQ48" s="7">
        <v>3</v>
      </c>
      <c r="AR48" s="14">
        <v>3</v>
      </c>
      <c r="AS48" s="6"/>
    </row>
    <row r="49" spans="1:45" ht="15.75" x14ac:dyDescent="0.25">
      <c r="A49" s="187"/>
      <c r="B49" s="3" t="s">
        <v>89</v>
      </c>
      <c r="C49" s="15">
        <f t="shared" ref="C49:D49" si="186">C48-E48+G48</f>
        <v>0</v>
      </c>
      <c r="D49" s="6">
        <f t="shared" si="186"/>
        <v>0</v>
      </c>
      <c r="E49" s="244">
        <v>0</v>
      </c>
      <c r="F49" s="245">
        <v>0</v>
      </c>
      <c r="G49" s="244">
        <v>0</v>
      </c>
      <c r="H49" s="246">
        <v>0</v>
      </c>
      <c r="I49" s="5">
        <f t="shared" ref="I49:J49" si="187">I48-K48+M48</f>
        <v>3</v>
      </c>
      <c r="J49" s="6">
        <f t="shared" si="187"/>
        <v>0</v>
      </c>
      <c r="K49" s="5">
        <v>4</v>
      </c>
      <c r="L49" s="6">
        <v>1</v>
      </c>
      <c r="M49" s="5">
        <v>1</v>
      </c>
      <c r="N49" s="16">
        <v>1</v>
      </c>
      <c r="O49" s="187"/>
      <c r="P49" s="187"/>
      <c r="Q49" s="3" t="s">
        <v>89</v>
      </c>
      <c r="R49" s="15">
        <f t="shared" ref="R49:S49" si="188">R48-T48+V48</f>
        <v>1</v>
      </c>
      <c r="S49" s="6">
        <f t="shared" si="188"/>
        <v>1</v>
      </c>
      <c r="T49" s="244">
        <v>0</v>
      </c>
      <c r="U49" s="245">
        <v>0</v>
      </c>
      <c r="V49" s="244">
        <v>0</v>
      </c>
      <c r="W49" s="246">
        <v>0</v>
      </c>
      <c r="X49" s="5">
        <f t="shared" ref="X49:Y49" si="189">X48-Z48+AB48</f>
        <v>3</v>
      </c>
      <c r="Y49" s="6">
        <f t="shared" si="189"/>
        <v>0</v>
      </c>
      <c r="Z49" s="5">
        <v>4</v>
      </c>
      <c r="AA49" s="6">
        <v>1</v>
      </c>
      <c r="AB49" s="5">
        <v>1</v>
      </c>
      <c r="AC49" s="16">
        <v>1</v>
      </c>
      <c r="AD49" s="187"/>
      <c r="AE49" s="187"/>
      <c r="AF49" s="3" t="s">
        <v>89</v>
      </c>
      <c r="AG49" s="15">
        <f t="shared" ref="AG49:AH49" si="190">AG48-AI48+AK48</f>
        <v>45</v>
      </c>
      <c r="AH49" s="6">
        <f t="shared" si="190"/>
        <v>45</v>
      </c>
      <c r="AI49" s="244">
        <v>0</v>
      </c>
      <c r="AJ49" s="245">
        <v>0</v>
      </c>
      <c r="AK49" s="5">
        <v>1</v>
      </c>
      <c r="AL49" s="16">
        <v>1</v>
      </c>
      <c r="AM49" s="5">
        <f t="shared" ref="AM49:AN49" si="191">AM48-AO48+AQ48</f>
        <v>30</v>
      </c>
      <c r="AN49" s="6">
        <f t="shared" si="191"/>
        <v>28</v>
      </c>
      <c r="AO49" s="244">
        <v>4</v>
      </c>
      <c r="AP49" s="245">
        <v>1</v>
      </c>
      <c r="AQ49" s="5">
        <v>4</v>
      </c>
      <c r="AR49" s="16">
        <v>4</v>
      </c>
      <c r="AS49" s="6"/>
    </row>
    <row r="50" spans="1:45" ht="15.75" x14ac:dyDescent="0.25">
      <c r="A50" s="187"/>
      <c r="B50" s="4" t="s">
        <v>92</v>
      </c>
      <c r="C50" s="17">
        <v>0</v>
      </c>
      <c r="D50" s="18">
        <f>D49-F49+H49</f>
        <v>0</v>
      </c>
      <c r="E50" s="247">
        <v>0</v>
      </c>
      <c r="F50" s="248">
        <v>0</v>
      </c>
      <c r="G50" s="247">
        <v>0</v>
      </c>
      <c r="H50" s="249">
        <v>0</v>
      </c>
      <c r="I50" s="19">
        <v>0</v>
      </c>
      <c r="J50" s="18">
        <v>0</v>
      </c>
      <c r="K50" s="19">
        <v>1</v>
      </c>
      <c r="L50" s="18">
        <v>2</v>
      </c>
      <c r="M50" s="19">
        <v>2</v>
      </c>
      <c r="N50" s="20">
        <v>2</v>
      </c>
      <c r="O50" s="187"/>
      <c r="P50" s="187"/>
      <c r="Q50" s="4" t="s">
        <v>92</v>
      </c>
      <c r="R50" s="17">
        <v>0</v>
      </c>
      <c r="S50" s="18">
        <v>0</v>
      </c>
      <c r="T50" s="247">
        <v>0</v>
      </c>
      <c r="U50" s="248">
        <v>0</v>
      </c>
      <c r="V50" s="247">
        <v>0</v>
      </c>
      <c r="W50" s="249">
        <v>0</v>
      </c>
      <c r="X50" s="19">
        <v>0</v>
      </c>
      <c r="Y50" s="18">
        <v>0</v>
      </c>
      <c r="Z50" s="19">
        <v>1</v>
      </c>
      <c r="AA50" s="18">
        <v>2</v>
      </c>
      <c r="AB50" s="19">
        <v>2</v>
      </c>
      <c r="AC50" s="20">
        <v>2</v>
      </c>
      <c r="AD50" s="187"/>
      <c r="AE50" s="187"/>
      <c r="AF50" s="4" t="s">
        <v>92</v>
      </c>
      <c r="AG50" s="17">
        <v>0</v>
      </c>
      <c r="AH50" s="18">
        <v>0</v>
      </c>
      <c r="AI50" s="247">
        <v>0</v>
      </c>
      <c r="AJ50" s="248">
        <v>0</v>
      </c>
      <c r="AK50" s="19">
        <v>2</v>
      </c>
      <c r="AL50" s="20">
        <v>2</v>
      </c>
      <c r="AM50" s="19">
        <v>0</v>
      </c>
      <c r="AN50" s="18">
        <v>0</v>
      </c>
      <c r="AO50" s="247">
        <v>1</v>
      </c>
      <c r="AP50" s="248">
        <v>2</v>
      </c>
      <c r="AQ50" s="19">
        <v>2</v>
      </c>
      <c r="AR50" s="20">
        <v>2</v>
      </c>
      <c r="AS50" s="6"/>
    </row>
    <row r="51" spans="1:45" ht="10.5" customHeight="1" x14ac:dyDescent="0.25">
      <c r="A51" s="187"/>
      <c r="B51" s="330"/>
      <c r="C51" s="331"/>
      <c r="D51" s="331"/>
      <c r="E51" s="331"/>
      <c r="F51" s="331"/>
      <c r="G51" s="331"/>
      <c r="H51" s="331"/>
      <c r="I51" s="331"/>
      <c r="J51" s="331"/>
      <c r="K51" s="331"/>
      <c r="L51" s="331"/>
      <c r="M51" s="331"/>
      <c r="N51" s="331"/>
      <c r="O51" s="187"/>
      <c r="P51" s="187"/>
      <c r="Q51" s="192"/>
      <c r="R51" s="187"/>
      <c r="S51" s="187"/>
      <c r="T51" s="187"/>
      <c r="U51" s="187"/>
      <c r="V51" s="187"/>
      <c r="W51" s="187"/>
      <c r="X51" s="187"/>
      <c r="Y51" s="187"/>
      <c r="Z51" s="187"/>
      <c r="AA51" s="187"/>
      <c r="AB51" s="187"/>
      <c r="AC51" s="187"/>
      <c r="AD51" s="187"/>
      <c r="AE51" s="187"/>
      <c r="AF51" s="193"/>
      <c r="AG51" s="193"/>
      <c r="AH51" s="193"/>
      <c r="AI51" s="193"/>
      <c r="AJ51" s="193"/>
      <c r="AK51" s="193"/>
      <c r="AL51" s="193"/>
      <c r="AM51" s="193"/>
      <c r="AN51" s="193"/>
      <c r="AO51" s="193"/>
      <c r="AP51" s="193"/>
      <c r="AQ51" s="193"/>
      <c r="AR51" s="193"/>
      <c r="AS51" s="166"/>
    </row>
  </sheetData>
  <mergeCells count="73">
    <mergeCell ref="B2:N2"/>
    <mergeCell ref="B4:N4"/>
    <mergeCell ref="B3:N3"/>
    <mergeCell ref="Q30:AC30"/>
    <mergeCell ref="Q3:AC3"/>
    <mergeCell ref="Q4:AC4"/>
    <mergeCell ref="V9:W9"/>
    <mergeCell ref="T9:U9"/>
    <mergeCell ref="R9:S9"/>
    <mergeCell ref="X9:Y9"/>
    <mergeCell ref="Z9:AA9"/>
    <mergeCell ref="AB9:AC9"/>
    <mergeCell ref="Q8:Q9"/>
    <mergeCell ref="R8:W8"/>
    <mergeCell ref="B7:N7"/>
    <mergeCell ref="B5:N5"/>
    <mergeCell ref="B31:B32"/>
    <mergeCell ref="B8:B9"/>
    <mergeCell ref="C8:H8"/>
    <mergeCell ref="B30:N30"/>
    <mergeCell ref="B51:N51"/>
    <mergeCell ref="G9:H9"/>
    <mergeCell ref="K9:L9"/>
    <mergeCell ref="M9:N9"/>
    <mergeCell ref="C32:D32"/>
    <mergeCell ref="E32:F32"/>
    <mergeCell ref="C9:D9"/>
    <mergeCell ref="E9:F9"/>
    <mergeCell ref="K32:L32"/>
    <mergeCell ref="I9:J9"/>
    <mergeCell ref="I8:N8"/>
    <mergeCell ref="I32:J32"/>
    <mergeCell ref="AF2:AR2"/>
    <mergeCell ref="AF3:AR3"/>
    <mergeCell ref="R32:S32"/>
    <mergeCell ref="T32:U32"/>
    <mergeCell ref="AF4:AR4"/>
    <mergeCell ref="AF5:AR5"/>
    <mergeCell ref="AG8:AL8"/>
    <mergeCell ref="X8:AC8"/>
    <mergeCell ref="AK9:AL9"/>
    <mergeCell ref="AQ9:AR9"/>
    <mergeCell ref="AM9:AN9"/>
    <mergeCell ref="AF30:AR30"/>
    <mergeCell ref="AM32:AN32"/>
    <mergeCell ref="AO32:AP32"/>
    <mergeCell ref="AK32:AL32"/>
    <mergeCell ref="AF31:AF32"/>
    <mergeCell ref="R31:W31"/>
    <mergeCell ref="Q5:AC5"/>
    <mergeCell ref="V32:W32"/>
    <mergeCell ref="Q7:AC7"/>
    <mergeCell ref="Q2:AC2"/>
    <mergeCell ref="Z32:AA32"/>
    <mergeCell ref="AB32:AC32"/>
    <mergeCell ref="X32:Y32"/>
    <mergeCell ref="X31:AC31"/>
    <mergeCell ref="C31:H31"/>
    <mergeCell ref="I31:N31"/>
    <mergeCell ref="Q31:Q32"/>
    <mergeCell ref="M32:N32"/>
    <mergeCell ref="G32:H32"/>
    <mergeCell ref="AQ32:AR32"/>
    <mergeCell ref="AG32:AH32"/>
    <mergeCell ref="AI32:AJ32"/>
    <mergeCell ref="AG31:AL31"/>
    <mergeCell ref="AF7:AR7"/>
    <mergeCell ref="AM8:AR8"/>
    <mergeCell ref="AG9:AH9"/>
    <mergeCell ref="AI9:AJ9"/>
    <mergeCell ref="AF8:AF9"/>
    <mergeCell ref="AO9:AP9"/>
    <mergeCell ref="AM31:AR31"/>
  </mergeCells>
  <conditionalFormatting sqref="C33:D50 C10:D27 R10:S27 I10:J27 I33:J50 R33:S50 X33:Y50 X10:Y27 AG10:AH27 AG33:AH50 AM33:AN50 AM10:AN27">
    <cfRule type="cellIs" dxfId="40" priority="1" operator="lessThan">
      <formula>0</formula>
    </cfRule>
  </conditionalFormatting>
  <dataValidations count="9">
    <dataValidation type="list" allowBlank="1" showErrorMessage="1" sqref="V10:W10 V33:W33 AK10:AL10 AK33:AL33" xr:uid="{00000000-0002-0000-0200-000000000000}">
      <formula1>"1,2"</formula1>
    </dataValidation>
    <dataValidation type="decimal" operator="equal" allowBlank="1" showDropDown="1" showErrorMessage="1" sqref="C10:D10 I10:J10 R10:S10 X10:Y10 AG10:AH10 AM10:AN10 C33:D33 I33:J33 R33:S33 X33:Y33 AG33:AH33 AM33:AN33" xr:uid="{00000000-0002-0000-0200-000001000000}">
      <formula1>1</formula1>
    </dataValidation>
    <dataValidation type="list" allowBlank="1" showErrorMessage="1" sqref="M10:N10 AB10:AC10 AS16 G16:H16 M16:N16 V16:W16 AB16:AC16 AK16:AL16 AK49:AL49 G18:H19 V18:W19 AK18:AL19 G26:H26 V26:W26 AK26:AL26 M33:N33 AB33:AC33 AS39 G39:H39 M39:N39 V39:W39 AB39:AC39 AK39:AL39 AS10 G41:H42 V41:W42 AK41:AL42 G49:H49 V49:W49 AS33" xr:uid="{00000000-0002-0000-0200-000002000000}">
      <formula1>"0,1"</formula1>
    </dataValidation>
    <dataValidation type="list" allowBlank="1" showErrorMessage="1" sqref="G17:H17 V17:W17 AK17:AL17 G21:H21 V21:W21 AK21:AL21 G40:H40 V40:W40 AK40:AL40 G44:H44 V44:W44 AK44:AL44" xr:uid="{00000000-0002-0000-0200-000003000000}">
      <formula1>"0,1,2,3,4,5,6"</formula1>
    </dataValidation>
    <dataValidation type="list" allowBlank="1" showErrorMessage="1" sqref="G11:H12 V11:W12 AK11:AL12 G14:H15 V14:W15 AK14:AL15 M22:N23 AB22:AC23 AS26 M26:N26 AB26:AC26 AS45:AS46 G34:H35 V34:W35 AK34:AL35 G37:H38 V37:W38 AK37:AL38 M45:N46 AB45:AC46 AS22:AS23 M49:N49 AB49:AC49 AS49" xr:uid="{00000000-0002-0000-0200-000004000000}">
      <formula1>"0,1,2,3,4"</formula1>
    </dataValidation>
    <dataValidation type="list" allowBlank="1" showErrorMessage="1" sqref="G10:H10 M11:N12 AB11:AC12 AS15 M15:N15 AB15:AC15 AS19 M19:N19 AB19:AC19 AS21 M21:N21 AB21:AC21 AS24 G33:H33 M24 AS27 G27:H27 M27:N27 V27:W27 AB27:AC27 AK27:AL27 AB24 AS34:AS35 M34:N35 AB34:AC35 AS38 M38:N38 AB38:AC38 AS42 M42:N42 AB42:AC42 AS44 M44:N44 AB44:AC44 AS47 AC47 AS50 AS11:AS12 G50:H50 M50:N50 V50:W50 AB50:AC50 AK50:AL50 AB47 M47 N47" xr:uid="{00000000-0002-0000-0200-000005000000}">
      <formula1>"0,1,2"</formula1>
    </dataValidation>
    <dataValidation type="decimal" operator="equal" allowBlank="1" showDropDown="1" showErrorMessage="1" sqref="M18:N18 AB18:AC18 AM50:AN50 C27:D27 I27:J27 R27:S27 X27:Y27 AG27:AH27 AM27:AN27 M41:N41 AB41:AC41 AS18 C50:D50 I50:J50 R50:S50 X50:Y50 AG50:AH50 AS41" xr:uid="{00000000-0002-0000-0200-000006000000}">
      <formula1>0</formula1>
    </dataValidation>
    <dataValidation type="list" allowBlank="1" showErrorMessage="1" sqref="G13:H13 V13:W13 AK13:AL13 G24:H24 V24:W24 AK24:AL24 G36:H36 V36:W36 AK36:AL36 G47:H47 V47:W47 AK47:AL47" xr:uid="{00000000-0002-0000-0200-000007000000}">
      <formula1>"0,1,2,3,4,5"</formula1>
    </dataValidation>
    <dataValidation type="list" allowBlank="1" showErrorMessage="1" sqref="M13:N14 AB13:AC14 AS17 M17:N17 AB17:AC17 AS20 G20:H20 M20:N20 V20:W20 AB20:AC20 AK20:AL20 AS25 G22:H23 V22:W23 AK22:AL23 G25:H25 M25:N25 V25:W25 AB25:AC25 AK25:AL25 AS36:AS37 M36:N37 AB36:AC37 AS40 M40:N40 AB40:AC40 AS43 G43:H43 M43:N43 V43:W43 AB43:AC43 AK43:AL43 AS48 G45:H46 V45:W46 AK45:AL46 G48:H48 M48:N48 V48:W48 AB48:AC48 AK48:AL48 AS13:AS14 N24 AC24" xr:uid="{00000000-0002-0000-0200-000008000000}">
      <formula1>"0,1,2,3"</formula1>
    </dataValidation>
  </dataValidations>
  <pageMargins left="0.7" right="0.7" top="0.75" bottom="0.75" header="0.3" footer="0.3"/>
  <pageSetup pageOrder="overThenDown" orientation="landscape" r:id="rId1"/>
  <rowBreaks count="1" manualBreakCount="1">
    <brk id="28" max="64" man="1"/>
  </rowBreaks>
  <colBreaks count="2" manualBreakCount="2">
    <brk id="15" max="50" man="1"/>
    <brk id="30" max="50" man="1"/>
  </colBreaks>
  <legacyDrawing r:id="rId2"/>
  <tableParts count="6">
    <tablePart r:id="rId3"/>
    <tablePart r:id="rId4"/>
    <tablePart r:id="rId5"/>
    <tablePart r:id="rId6"/>
    <tablePart r:id="rId7"/>
    <tablePart r:id="rId8"/>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04">
    <outlinePr summaryBelow="0" summaryRight="0"/>
  </sheetPr>
  <dimension ref="A1:AE66"/>
  <sheetViews>
    <sheetView showGridLines="0" zoomScale="85" zoomScaleNormal="85" workbookViewId="0"/>
  </sheetViews>
  <sheetFormatPr defaultColWidth="0" defaultRowHeight="15.75" customHeight="1" zeroHeight="1" x14ac:dyDescent="0.25"/>
  <cols>
    <col min="1" max="1" width="2" style="2" customWidth="1"/>
    <col min="2" max="2" width="18" style="2" customWidth="1"/>
    <col min="3" max="4" width="9.42578125" style="2" customWidth="1"/>
    <col min="5" max="5" width="9.7109375" style="2" customWidth="1"/>
    <col min="6" max="6" width="10.140625" style="2" customWidth="1"/>
    <col min="7" max="7" width="10.5703125" style="2" customWidth="1"/>
    <col min="8" max="8" width="10.7109375" style="2" customWidth="1"/>
    <col min="9" max="9" width="14.28515625" style="2" bestFit="1" customWidth="1"/>
    <col min="10" max="10" width="9.5703125" style="2" customWidth="1"/>
    <col min="11" max="11" width="18.140625" style="2" customWidth="1"/>
    <col min="12" max="12" width="17.85546875" style="2" customWidth="1"/>
    <col min="13" max="13" width="10.7109375" style="2" customWidth="1"/>
    <col min="14" max="14" width="7.42578125" style="2" customWidth="1"/>
    <col min="15" max="15" width="10.85546875" style="2" customWidth="1"/>
    <col min="16" max="16" width="8.7109375" style="2" customWidth="1"/>
    <col min="17" max="17" width="9" style="2" customWidth="1"/>
    <col min="18" max="18" width="10.85546875" style="2" customWidth="1"/>
    <col min="19" max="19" width="9.140625" style="2" customWidth="1"/>
    <col min="20" max="20" width="11.7109375" style="2" customWidth="1"/>
    <col min="21" max="21" width="10.85546875" style="2" customWidth="1"/>
    <col min="22" max="22" width="10" style="2" customWidth="1"/>
    <col min="23" max="23" width="8.7109375" style="2" customWidth="1"/>
    <col min="24" max="24" width="10.85546875" style="2" customWidth="1"/>
    <col min="25" max="25" width="11.42578125" style="2" customWidth="1"/>
    <col min="26" max="26" width="10.7109375" style="2" customWidth="1"/>
    <col min="27" max="27" width="10.85546875" style="2" customWidth="1"/>
    <col min="28" max="28" width="9.28515625" style="2" customWidth="1"/>
    <col min="29" max="29" width="7.85546875" style="2" customWidth="1"/>
    <col min="30" max="30" width="10.85546875" style="2" customWidth="1"/>
    <col min="31" max="31" width="2" style="2" customWidth="1"/>
    <col min="32" max="16384" width="14.42578125" style="2"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5" t="s">
        <v>2</v>
      </c>
      <c r="C2" s="354" t="s">
        <v>5</v>
      </c>
      <c r="D2" s="316"/>
      <c r="E2" s="316"/>
      <c r="F2" s="316"/>
      <c r="G2" s="316"/>
      <c r="H2" s="316"/>
      <c r="I2" s="316"/>
      <c r="J2" s="316"/>
      <c r="K2" s="316"/>
      <c r="L2" s="355" t="s">
        <v>2</v>
      </c>
      <c r="M2" s="338" t="s">
        <v>7</v>
      </c>
      <c r="N2" s="316"/>
      <c r="O2" s="316"/>
      <c r="P2" s="316"/>
      <c r="Q2" s="316"/>
      <c r="R2" s="316"/>
      <c r="S2" s="316"/>
      <c r="T2" s="316"/>
      <c r="U2" s="316"/>
      <c r="V2" s="316"/>
      <c r="W2" s="316"/>
      <c r="X2" s="316"/>
      <c r="Y2" s="316"/>
      <c r="Z2" s="316"/>
      <c r="AA2" s="316"/>
      <c r="AB2" s="316"/>
      <c r="AC2" s="316"/>
      <c r="AD2" s="317"/>
      <c r="AE2" s="34"/>
    </row>
    <row r="3" spans="1:31" x14ac:dyDescent="0.25">
      <c r="A3" s="33"/>
      <c r="B3" s="356"/>
      <c r="C3" s="363" t="s">
        <v>13</v>
      </c>
      <c r="D3" s="316"/>
      <c r="E3" s="364" t="s">
        <v>15</v>
      </c>
      <c r="F3" s="317"/>
      <c r="G3" s="35" t="s">
        <v>16</v>
      </c>
      <c r="H3" s="36" t="s">
        <v>155</v>
      </c>
      <c r="I3" s="137" t="s">
        <v>156</v>
      </c>
      <c r="J3" s="37" t="s">
        <v>20</v>
      </c>
      <c r="K3" s="125" t="s">
        <v>22</v>
      </c>
      <c r="L3" s="356"/>
      <c r="M3" s="361"/>
      <c r="N3" s="312"/>
      <c r="O3" s="312"/>
      <c r="P3" s="312"/>
      <c r="Q3" s="312"/>
      <c r="R3" s="312"/>
      <c r="S3" s="312"/>
      <c r="T3" s="312"/>
      <c r="U3" s="312"/>
      <c r="V3" s="312"/>
      <c r="W3" s="312"/>
      <c r="X3" s="312"/>
      <c r="Y3" s="312"/>
      <c r="Z3" s="312"/>
      <c r="AA3" s="312"/>
      <c r="AB3" s="312"/>
      <c r="AC3" s="312"/>
      <c r="AD3" s="310"/>
      <c r="AE3" s="34"/>
    </row>
    <row r="4" spans="1:31" x14ac:dyDescent="0.25">
      <c r="A4" s="33"/>
      <c r="B4" s="357"/>
      <c r="C4" s="111" t="s">
        <v>26</v>
      </c>
      <c r="D4" s="112" t="s">
        <v>27</v>
      </c>
      <c r="E4" s="145" t="s">
        <v>26</v>
      </c>
      <c r="F4" s="38" t="s">
        <v>27</v>
      </c>
      <c r="G4" s="116" t="s">
        <v>30</v>
      </c>
      <c r="H4" s="121" t="s">
        <v>26</v>
      </c>
      <c r="I4" s="39" t="s">
        <v>35</v>
      </c>
      <c r="J4" s="123" t="s">
        <v>26</v>
      </c>
      <c r="K4" s="40" t="s">
        <v>38</v>
      </c>
      <c r="L4" s="357"/>
      <c r="M4" s="41" t="s">
        <v>39</v>
      </c>
      <c r="N4" s="42" t="s">
        <v>40</v>
      </c>
      <c r="O4" s="42" t="s">
        <v>41</v>
      </c>
      <c r="P4" s="42" t="s">
        <v>157</v>
      </c>
      <c r="Q4" s="43" t="s">
        <v>42</v>
      </c>
      <c r="R4" s="43" t="s">
        <v>43</v>
      </c>
      <c r="S4" s="43" t="s">
        <v>44</v>
      </c>
      <c r="T4" s="43" t="s">
        <v>45</v>
      </c>
      <c r="U4" s="43" t="s">
        <v>46</v>
      </c>
      <c r="V4" s="43" t="s">
        <v>47</v>
      </c>
      <c r="W4" s="43" t="s">
        <v>48</v>
      </c>
      <c r="X4" s="43" t="s">
        <v>49</v>
      </c>
      <c r="Y4" s="43" t="s">
        <v>50</v>
      </c>
      <c r="Z4" s="43" t="s">
        <v>51</v>
      </c>
      <c r="AA4" s="43" t="s">
        <v>52</v>
      </c>
      <c r="AB4" s="43" t="s">
        <v>53</v>
      </c>
      <c r="AC4" s="43" t="s">
        <v>54</v>
      </c>
      <c r="AD4" s="44" t="s">
        <v>55</v>
      </c>
      <c r="AE4" s="34"/>
    </row>
    <row r="5" spans="1:31" x14ac:dyDescent="0.25">
      <c r="A5" s="34"/>
      <c r="B5" s="45" t="s">
        <v>56</v>
      </c>
      <c r="C5" s="34">
        <f>20/(IF($J$36="Yes",1,0)+1)*(IF($J$39="Yes",1,0)+1)</f>
        <v>20</v>
      </c>
      <c r="D5" s="34">
        <f>ROUNDUP(C5/2,0)</f>
        <v>10</v>
      </c>
      <c r="E5" s="25">
        <f>ROUNDUP(C5/2,0)</f>
        <v>10</v>
      </c>
      <c r="F5" s="46">
        <f t="shared" ref="F5:F33" si="0">ROUNDUP(E5/2,0)</f>
        <v>5</v>
      </c>
      <c r="G5" s="26">
        <f>ROUNDUP(C5/18,0)</f>
        <v>2</v>
      </c>
      <c r="H5" s="27">
        <f>ROUNDUP(C5,0)</f>
        <v>20</v>
      </c>
      <c r="I5" s="138">
        <f>ROUNDUP(C5/4,0)</f>
        <v>5</v>
      </c>
      <c r="J5" s="28">
        <f>ROUNDUP(H5/3,0)</f>
        <v>7</v>
      </c>
      <c r="K5" s="126">
        <f>ROUNDUP(C5/30,0)</f>
        <v>1</v>
      </c>
      <c r="L5" s="45" t="str">
        <f t="shared" ref="L5:L33" si="1">B5</f>
        <v>Tiger</v>
      </c>
      <c r="M5" s="98">
        <v>0</v>
      </c>
      <c r="N5" s="34"/>
      <c r="O5" s="34"/>
      <c r="P5" s="34"/>
      <c r="Q5" s="34"/>
      <c r="R5" s="34"/>
      <c r="S5" s="34"/>
      <c r="T5" s="34"/>
      <c r="U5" s="34"/>
      <c r="V5" s="34"/>
      <c r="W5" s="34"/>
      <c r="X5" s="34"/>
      <c r="Y5" s="34"/>
      <c r="Z5" s="99">
        <v>3</v>
      </c>
      <c r="AA5" s="99">
        <v>0</v>
      </c>
      <c r="AB5" s="34"/>
      <c r="AC5" s="34"/>
      <c r="AD5" s="101"/>
      <c r="AE5" s="34"/>
    </row>
    <row r="6" spans="1:31" x14ac:dyDescent="0.25">
      <c r="A6" s="34"/>
      <c r="B6" s="129" t="s">
        <v>58</v>
      </c>
      <c r="C6" s="113">
        <f>15/(IF($J$36="Yes",1,0)+1)*(IF($J$39="Yes",1,0)+1)</f>
        <v>15</v>
      </c>
      <c r="D6" s="113">
        <f t="shared" ref="D6:D33" si="2">ROUNDUP(C6/2,0)</f>
        <v>8</v>
      </c>
      <c r="E6" s="29">
        <f t="shared" ref="E6:E33" si="3">ROUNDUP(C6/2,0)</f>
        <v>8</v>
      </c>
      <c r="F6" s="48">
        <f t="shared" si="0"/>
        <v>4</v>
      </c>
      <c r="G6" s="117">
        <f t="shared" ref="G6:G33" si="4">ROUNDUP(C6/18,0)</f>
        <v>1</v>
      </c>
      <c r="H6" s="120">
        <f t="shared" ref="H6:H33" si="5">ROUNDUP(C6,0)</f>
        <v>15</v>
      </c>
      <c r="I6" s="30">
        <f t="shared" ref="I6:I33" si="6">ROUNDUP(C6/4,0)</f>
        <v>4</v>
      </c>
      <c r="J6" s="124">
        <f t="shared" ref="J6:J33" si="7">ROUNDUP(H6/3,0)</f>
        <v>5</v>
      </c>
      <c r="K6" s="49">
        <f t="shared" ref="K6:K33" si="8">ROUNDUP(C6/30,0)</f>
        <v>1</v>
      </c>
      <c r="L6" s="129" t="str">
        <f t="shared" si="1"/>
        <v>Crow</v>
      </c>
      <c r="M6" s="199">
        <v>0</v>
      </c>
      <c r="N6" s="34"/>
      <c r="O6" s="34"/>
      <c r="P6" s="34"/>
      <c r="Q6" s="34"/>
      <c r="R6" s="34"/>
      <c r="S6" s="34"/>
      <c r="T6" s="34"/>
      <c r="U6" s="34"/>
      <c r="V6" s="34"/>
      <c r="W6" s="34"/>
      <c r="X6" s="200">
        <v>0</v>
      </c>
      <c r="Y6" s="34"/>
      <c r="Z6" s="34"/>
      <c r="AA6" s="34"/>
      <c r="AB6" s="34"/>
      <c r="AC6" s="34"/>
      <c r="AD6" s="101"/>
      <c r="AE6" s="34"/>
    </row>
    <row r="7" spans="1:31" x14ac:dyDescent="0.25">
      <c r="A7" s="34"/>
      <c r="B7" s="50" t="s">
        <v>60</v>
      </c>
      <c r="C7" s="34">
        <f>5/(IF($J$36="Yes",1,0)+1)*(IF($J$39="Yes",1,0)+1)</f>
        <v>5</v>
      </c>
      <c r="D7" s="34">
        <f t="shared" si="2"/>
        <v>3</v>
      </c>
      <c r="E7" s="25">
        <f t="shared" si="3"/>
        <v>3</v>
      </c>
      <c r="F7" s="46">
        <f t="shared" si="0"/>
        <v>2</v>
      </c>
      <c r="G7" s="26">
        <f t="shared" si="4"/>
        <v>1</v>
      </c>
      <c r="H7" s="27">
        <f t="shared" si="5"/>
        <v>5</v>
      </c>
      <c r="I7" s="138">
        <f t="shared" si="6"/>
        <v>2</v>
      </c>
      <c r="J7" s="28">
        <f t="shared" si="7"/>
        <v>2</v>
      </c>
      <c r="K7" s="126">
        <f t="shared" si="8"/>
        <v>1</v>
      </c>
      <c r="L7" s="50" t="str">
        <f t="shared" si="1"/>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62</v>
      </c>
      <c r="C8" s="113">
        <f>100/(IF($J$36="Yes",1,0)+1)*(IF($J$39="Yes",1,0)+1)</f>
        <v>100</v>
      </c>
      <c r="D8" s="113">
        <f t="shared" si="2"/>
        <v>50</v>
      </c>
      <c r="E8" s="29">
        <f t="shared" si="3"/>
        <v>50</v>
      </c>
      <c r="F8" s="48">
        <f t="shared" si="0"/>
        <v>25</v>
      </c>
      <c r="G8" s="117">
        <f t="shared" si="4"/>
        <v>6</v>
      </c>
      <c r="H8" s="120">
        <f t="shared" si="5"/>
        <v>100</v>
      </c>
      <c r="I8" s="30">
        <f t="shared" si="6"/>
        <v>25</v>
      </c>
      <c r="J8" s="124">
        <f t="shared" si="7"/>
        <v>34</v>
      </c>
      <c r="K8" s="49">
        <f t="shared" si="8"/>
        <v>4</v>
      </c>
      <c r="L8" s="129" t="str">
        <f t="shared" si="1"/>
        <v>T-Rex</v>
      </c>
      <c r="M8" s="199">
        <v>0</v>
      </c>
      <c r="N8" s="34"/>
      <c r="O8" s="34"/>
      <c r="P8" s="34"/>
      <c r="Q8" s="34"/>
      <c r="R8" s="34"/>
      <c r="S8" s="34"/>
      <c r="T8" s="34"/>
      <c r="U8" s="34"/>
      <c r="V8" s="34"/>
      <c r="W8" s="34"/>
      <c r="X8" s="34"/>
      <c r="Y8" s="34"/>
      <c r="Z8" s="34"/>
      <c r="AA8" s="34"/>
      <c r="AB8" s="34"/>
      <c r="AC8" s="34"/>
      <c r="AD8" s="101"/>
      <c r="AE8" s="34"/>
    </row>
    <row r="9" spans="1:31" x14ac:dyDescent="0.25">
      <c r="A9" s="34"/>
      <c r="B9" s="50" t="s">
        <v>64</v>
      </c>
      <c r="C9" s="34">
        <f>4/(IF($J$36="Yes",1,0)+1)*(IF($J$39="Yes",1,0)+1)</f>
        <v>4</v>
      </c>
      <c r="D9" s="34">
        <f t="shared" si="2"/>
        <v>2</v>
      </c>
      <c r="E9" s="25">
        <f t="shared" si="3"/>
        <v>2</v>
      </c>
      <c r="F9" s="46">
        <f t="shared" si="0"/>
        <v>1</v>
      </c>
      <c r="G9" s="26">
        <f t="shared" si="4"/>
        <v>1</v>
      </c>
      <c r="H9" s="27">
        <f t="shared" si="5"/>
        <v>4</v>
      </c>
      <c r="I9" s="138">
        <f t="shared" si="6"/>
        <v>1</v>
      </c>
      <c r="J9" s="28">
        <f t="shared" si="7"/>
        <v>2</v>
      </c>
      <c r="K9" s="126">
        <f t="shared" si="8"/>
        <v>1</v>
      </c>
      <c r="L9" s="50" t="str">
        <f t="shared" si="1"/>
        <v>Rat</v>
      </c>
      <c r="M9" s="47"/>
      <c r="N9" s="99">
        <v>0</v>
      </c>
      <c r="O9" s="99">
        <v>2</v>
      </c>
      <c r="P9" s="99">
        <v>0</v>
      </c>
      <c r="Q9" s="99"/>
      <c r="R9" s="99"/>
      <c r="S9" s="99"/>
      <c r="T9" s="99"/>
      <c r="U9" s="99"/>
      <c r="V9" s="99"/>
      <c r="W9" s="99"/>
      <c r="X9" s="99"/>
      <c r="Y9" s="99"/>
      <c r="Z9" s="99"/>
      <c r="AA9" s="99"/>
      <c r="AB9" s="99"/>
      <c r="AC9" s="99"/>
      <c r="AD9" s="101"/>
      <c r="AE9" s="34"/>
    </row>
    <row r="10" spans="1:31" x14ac:dyDescent="0.25">
      <c r="A10" s="34"/>
      <c r="B10" s="129" t="s">
        <v>65</v>
      </c>
      <c r="C10" s="113">
        <f>10/(IF($J$36="Yes",1,0)+1)*(IF($J$39="Yes",1,0)+1)</f>
        <v>10</v>
      </c>
      <c r="D10" s="113">
        <f t="shared" si="2"/>
        <v>5</v>
      </c>
      <c r="E10" s="29">
        <f t="shared" si="3"/>
        <v>5</v>
      </c>
      <c r="F10" s="48">
        <f t="shared" si="0"/>
        <v>3</v>
      </c>
      <c r="G10" s="117">
        <f t="shared" si="4"/>
        <v>1</v>
      </c>
      <c r="H10" s="120">
        <f t="shared" si="5"/>
        <v>10</v>
      </c>
      <c r="I10" s="30">
        <f t="shared" si="6"/>
        <v>3</v>
      </c>
      <c r="J10" s="124">
        <f t="shared" si="7"/>
        <v>4</v>
      </c>
      <c r="K10" s="49">
        <f t="shared" si="8"/>
        <v>1</v>
      </c>
      <c r="L10" s="129" t="str">
        <f t="shared" si="1"/>
        <v>Dog</v>
      </c>
      <c r="M10" s="47"/>
      <c r="N10" s="200">
        <v>0</v>
      </c>
      <c r="O10" s="200">
        <v>0</v>
      </c>
      <c r="P10" s="200">
        <v>0</v>
      </c>
      <c r="Q10" s="200">
        <v>1</v>
      </c>
      <c r="R10" s="200">
        <v>4</v>
      </c>
      <c r="S10" s="100"/>
      <c r="T10" s="100"/>
      <c r="U10" s="100"/>
      <c r="V10" s="100"/>
      <c r="W10" s="100"/>
      <c r="X10" s="100"/>
      <c r="Y10" s="100"/>
      <c r="Z10" s="100"/>
      <c r="AA10" s="100"/>
      <c r="AB10" s="100"/>
      <c r="AC10" s="100"/>
      <c r="AD10" s="201">
        <v>4</v>
      </c>
      <c r="AE10" s="34"/>
    </row>
    <row r="11" spans="1:31" x14ac:dyDescent="0.25">
      <c r="A11" s="34"/>
      <c r="B11" s="50" t="s">
        <v>67</v>
      </c>
      <c r="C11" s="34">
        <f>27/(IF($J$36="Yes",1,0)+1)*(IF($J$39="Yes",1,0)+1)</f>
        <v>27</v>
      </c>
      <c r="D11" s="34">
        <f t="shared" si="2"/>
        <v>14</v>
      </c>
      <c r="E11" s="25">
        <f t="shared" si="3"/>
        <v>14</v>
      </c>
      <c r="F11" s="46">
        <f t="shared" si="0"/>
        <v>7</v>
      </c>
      <c r="G11" s="26">
        <f t="shared" si="4"/>
        <v>2</v>
      </c>
      <c r="H11" s="27">
        <f t="shared" si="5"/>
        <v>27</v>
      </c>
      <c r="I11" s="138">
        <f t="shared" si="6"/>
        <v>7</v>
      </c>
      <c r="J11" s="28">
        <f t="shared" si="7"/>
        <v>9</v>
      </c>
      <c r="K11" s="126">
        <f t="shared" si="8"/>
        <v>1</v>
      </c>
      <c r="L11" s="50" t="str">
        <f t="shared" si="1"/>
        <v>Melee Thug</v>
      </c>
      <c r="M11" s="47"/>
      <c r="N11" s="99">
        <v>0</v>
      </c>
      <c r="O11" s="99">
        <v>2</v>
      </c>
      <c r="P11" s="99">
        <v>0</v>
      </c>
      <c r="Q11" s="99">
        <v>2</v>
      </c>
      <c r="R11" s="99">
        <v>2</v>
      </c>
      <c r="S11" s="99">
        <v>0</v>
      </c>
      <c r="T11" s="99">
        <v>2</v>
      </c>
      <c r="U11" s="99">
        <v>1</v>
      </c>
      <c r="V11" s="99">
        <v>1</v>
      </c>
      <c r="W11" s="99"/>
      <c r="X11" s="99"/>
      <c r="Y11" s="99"/>
      <c r="Z11" s="99"/>
      <c r="AA11" s="99"/>
      <c r="AB11" s="99"/>
      <c r="AC11" s="99"/>
      <c r="AD11" s="205">
        <v>4</v>
      </c>
      <c r="AE11" s="34"/>
    </row>
    <row r="12" spans="1:31" x14ac:dyDescent="0.25">
      <c r="A12" s="34"/>
      <c r="B12" s="129" t="s">
        <v>68</v>
      </c>
      <c r="C12" s="113">
        <f>25/(IF($J$36="Yes",1,0)+1)*(IF($J$39="Yes",1,0)+1)</f>
        <v>25</v>
      </c>
      <c r="D12" s="113">
        <f t="shared" si="2"/>
        <v>13</v>
      </c>
      <c r="E12" s="29">
        <f t="shared" si="3"/>
        <v>13</v>
      </c>
      <c r="F12" s="48">
        <f t="shared" si="0"/>
        <v>7</v>
      </c>
      <c r="G12" s="117">
        <f t="shared" si="4"/>
        <v>2</v>
      </c>
      <c r="H12" s="120">
        <f t="shared" si="5"/>
        <v>25</v>
      </c>
      <c r="I12" s="30">
        <f t="shared" si="6"/>
        <v>7</v>
      </c>
      <c r="J12" s="124">
        <f t="shared" si="7"/>
        <v>9</v>
      </c>
      <c r="K12" s="49">
        <f t="shared" si="8"/>
        <v>1</v>
      </c>
      <c r="L12" s="129" t="str">
        <f t="shared" si="1"/>
        <v>Pistol Thug</v>
      </c>
      <c r="M12" s="47"/>
      <c r="N12" s="200">
        <v>0</v>
      </c>
      <c r="O12" s="200">
        <v>1</v>
      </c>
      <c r="P12" s="200">
        <v>0</v>
      </c>
      <c r="Q12" s="100"/>
      <c r="R12" s="100"/>
      <c r="S12" s="100"/>
      <c r="T12" s="100"/>
      <c r="U12" s="100"/>
      <c r="V12" s="100"/>
      <c r="W12" s="100"/>
      <c r="X12" s="100"/>
      <c r="Y12" s="100"/>
      <c r="Z12" s="100"/>
      <c r="AA12" s="100"/>
      <c r="AB12" s="100"/>
      <c r="AC12" s="100"/>
      <c r="AD12" s="201">
        <v>7</v>
      </c>
      <c r="AE12" s="34"/>
    </row>
    <row r="13" spans="1:31" x14ac:dyDescent="0.25">
      <c r="A13" s="34"/>
      <c r="B13" s="50" t="s">
        <v>69</v>
      </c>
      <c r="C13" s="34">
        <f>150/(IF($J$36="Yes",1,0)+1)*(IF($J$39="Yes",1,0)+1)</f>
        <v>150</v>
      </c>
      <c r="D13" s="34">
        <f t="shared" si="2"/>
        <v>75</v>
      </c>
      <c r="E13" s="25">
        <f t="shared" si="3"/>
        <v>75</v>
      </c>
      <c r="F13" s="46">
        <f t="shared" si="0"/>
        <v>38</v>
      </c>
      <c r="G13" s="26">
        <f t="shared" si="4"/>
        <v>9</v>
      </c>
      <c r="H13" s="27">
        <f t="shared" si="5"/>
        <v>150</v>
      </c>
      <c r="I13" s="138">
        <f t="shared" si="6"/>
        <v>38</v>
      </c>
      <c r="J13" s="28">
        <f t="shared" si="7"/>
        <v>50</v>
      </c>
      <c r="K13" s="126">
        <f t="shared" si="8"/>
        <v>5</v>
      </c>
      <c r="L13" s="50" t="str">
        <f t="shared" si="1"/>
        <v>Colt</v>
      </c>
      <c r="M13" s="47"/>
      <c r="N13" s="34"/>
      <c r="O13" s="99"/>
      <c r="P13" s="99">
        <v>0</v>
      </c>
      <c r="Q13" s="99"/>
      <c r="R13" s="99"/>
      <c r="S13" s="99"/>
      <c r="T13" s="99"/>
      <c r="U13" s="99"/>
      <c r="V13" s="99"/>
      <c r="W13" s="99"/>
      <c r="X13" s="99"/>
      <c r="Y13" s="99"/>
      <c r="Z13" s="99"/>
      <c r="AA13" s="99"/>
      <c r="AB13" s="99"/>
      <c r="AC13" s="99"/>
      <c r="AD13" s="205">
        <v>1</v>
      </c>
      <c r="AE13" s="34"/>
    </row>
    <row r="14" spans="1:31" x14ac:dyDescent="0.25">
      <c r="A14" s="34"/>
      <c r="B14" s="129" t="s">
        <v>71</v>
      </c>
      <c r="C14" s="113">
        <f>25/(IF($J$36="Yes",1,0)+1)*(IF($J$39="Yes",1,0)+1)</f>
        <v>25</v>
      </c>
      <c r="D14" s="113">
        <f t="shared" si="2"/>
        <v>13</v>
      </c>
      <c r="E14" s="29">
        <f t="shared" si="3"/>
        <v>13</v>
      </c>
      <c r="F14" s="48">
        <f t="shared" si="0"/>
        <v>7</v>
      </c>
      <c r="G14" s="117">
        <f t="shared" si="4"/>
        <v>2</v>
      </c>
      <c r="H14" s="120">
        <f t="shared" si="5"/>
        <v>25</v>
      </c>
      <c r="I14" s="30">
        <f t="shared" si="6"/>
        <v>7</v>
      </c>
      <c r="J14" s="124">
        <f t="shared" si="7"/>
        <v>9</v>
      </c>
      <c r="K14" s="49">
        <f t="shared" si="8"/>
        <v>1</v>
      </c>
      <c r="L14" s="129" t="str">
        <f t="shared" si="1"/>
        <v>Shotgun Thug</v>
      </c>
      <c r="M14" s="47"/>
      <c r="N14" s="34"/>
      <c r="O14" s="100"/>
      <c r="P14" s="100"/>
      <c r="Q14" s="200">
        <v>1</v>
      </c>
      <c r="R14" s="200">
        <v>2</v>
      </c>
      <c r="S14" s="200">
        <v>0</v>
      </c>
      <c r="T14" s="200">
        <v>1</v>
      </c>
      <c r="U14" s="200">
        <v>1</v>
      </c>
      <c r="V14" s="200">
        <v>0</v>
      </c>
      <c r="W14" s="100"/>
      <c r="X14" s="100"/>
      <c r="Y14" s="100"/>
      <c r="Z14" s="100"/>
      <c r="AA14" s="100"/>
      <c r="AB14" s="100"/>
      <c r="AC14" s="100"/>
      <c r="AD14" s="101"/>
      <c r="AE14" s="34"/>
    </row>
    <row r="15" spans="1:31" x14ac:dyDescent="0.25">
      <c r="A15" s="34"/>
      <c r="B15" s="50" t="s">
        <v>72</v>
      </c>
      <c r="C15" s="34">
        <f>20/(IF($J$36="Yes",1,0)+1)*(IF($J$39="Yes",1,0)+1)</f>
        <v>20</v>
      </c>
      <c r="D15" s="34">
        <f t="shared" si="2"/>
        <v>10</v>
      </c>
      <c r="E15" s="25">
        <f t="shared" si="3"/>
        <v>10</v>
      </c>
      <c r="F15" s="46">
        <f t="shared" si="0"/>
        <v>5</v>
      </c>
      <c r="G15" s="26">
        <f t="shared" si="4"/>
        <v>2</v>
      </c>
      <c r="H15" s="27">
        <f t="shared" si="5"/>
        <v>20</v>
      </c>
      <c r="I15" s="138">
        <f t="shared" si="6"/>
        <v>5</v>
      </c>
      <c r="J15" s="28">
        <f t="shared" si="7"/>
        <v>7</v>
      </c>
      <c r="K15" s="126">
        <f t="shared" si="8"/>
        <v>1</v>
      </c>
      <c r="L15" s="50" t="str">
        <f t="shared" si="1"/>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73</v>
      </c>
      <c r="C16" s="113">
        <f>20/(IF($J$36="Yes",1,0)+1)*(IF($J$39="Yes",1,0)+1)</f>
        <v>20</v>
      </c>
      <c r="D16" s="113">
        <f t="shared" si="2"/>
        <v>10</v>
      </c>
      <c r="E16" s="29">
        <f t="shared" si="3"/>
        <v>10</v>
      </c>
      <c r="F16" s="48">
        <f t="shared" si="0"/>
        <v>5</v>
      </c>
      <c r="G16" s="117">
        <f t="shared" si="4"/>
        <v>2</v>
      </c>
      <c r="H16" s="120">
        <f t="shared" si="5"/>
        <v>20</v>
      </c>
      <c r="I16" s="30">
        <f t="shared" si="6"/>
        <v>5</v>
      </c>
      <c r="J16" s="124">
        <f t="shared" si="7"/>
        <v>7</v>
      </c>
      <c r="K16" s="49">
        <f t="shared" si="8"/>
        <v>1</v>
      </c>
      <c r="L16" s="129" t="str">
        <f t="shared" si="1"/>
        <v>Flamethrower</v>
      </c>
      <c r="M16" s="47"/>
      <c r="N16" s="34"/>
      <c r="O16" s="100"/>
      <c r="P16" s="100"/>
      <c r="Q16" s="100"/>
      <c r="R16" s="200">
        <v>1</v>
      </c>
      <c r="S16" s="100"/>
      <c r="T16" s="100"/>
      <c r="U16" s="100"/>
      <c r="V16" s="200">
        <v>2</v>
      </c>
      <c r="W16" s="100"/>
      <c r="X16" s="100"/>
      <c r="Y16" s="100"/>
      <c r="Z16" s="100"/>
      <c r="AA16" s="100"/>
      <c r="AB16" s="100"/>
      <c r="AC16" s="100"/>
      <c r="AD16" s="101"/>
      <c r="AE16" s="34"/>
    </row>
    <row r="17" spans="1:31" x14ac:dyDescent="0.25">
      <c r="A17" s="34"/>
      <c r="B17" s="50" t="s">
        <v>145</v>
      </c>
      <c r="C17" s="34">
        <f>20/(IF($J$36="Yes",1,0)+1)*(IF($J$39="Yes",1,0)+1)</f>
        <v>20</v>
      </c>
      <c r="D17" s="34">
        <f t="shared" si="2"/>
        <v>10</v>
      </c>
      <c r="E17" s="25">
        <f t="shared" si="3"/>
        <v>10</v>
      </c>
      <c r="F17" s="46">
        <f t="shared" si="0"/>
        <v>5</v>
      </c>
      <c r="G17" s="26">
        <f t="shared" si="4"/>
        <v>2</v>
      </c>
      <c r="H17" s="27">
        <f t="shared" si="5"/>
        <v>20</v>
      </c>
      <c r="I17" s="138">
        <f t="shared" si="6"/>
        <v>5</v>
      </c>
      <c r="J17" s="28">
        <f t="shared" si="7"/>
        <v>7</v>
      </c>
      <c r="K17" s="126">
        <f t="shared" si="8"/>
        <v>1</v>
      </c>
      <c r="L17" s="50" t="str">
        <f t="shared" si="1"/>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75</v>
      </c>
      <c r="C18" s="113">
        <f>30/(IF($J$36="Yes",1,0)+1)*(IF($J$39="Yes",1,0)+1)</f>
        <v>30</v>
      </c>
      <c r="D18" s="113">
        <f t="shared" si="2"/>
        <v>15</v>
      </c>
      <c r="E18" s="29">
        <f t="shared" si="3"/>
        <v>15</v>
      </c>
      <c r="F18" s="48">
        <f t="shared" si="0"/>
        <v>8</v>
      </c>
      <c r="G18" s="117">
        <f t="shared" si="4"/>
        <v>2</v>
      </c>
      <c r="H18" s="120">
        <f t="shared" si="5"/>
        <v>30</v>
      </c>
      <c r="I18" s="30">
        <f t="shared" si="6"/>
        <v>8</v>
      </c>
      <c r="J18" s="124">
        <f t="shared" si="7"/>
        <v>10</v>
      </c>
      <c r="K18" s="49">
        <f t="shared" si="8"/>
        <v>1</v>
      </c>
      <c r="L18" s="129" t="str">
        <f t="shared" si="1"/>
        <v>Shark</v>
      </c>
      <c r="M18" s="47"/>
      <c r="N18" s="34"/>
      <c r="O18" s="100"/>
      <c r="P18" s="100"/>
      <c r="Q18" s="100"/>
      <c r="R18" s="100"/>
      <c r="S18" s="200">
        <v>0</v>
      </c>
      <c r="T18" s="200">
        <v>0</v>
      </c>
      <c r="U18" s="100"/>
      <c r="V18" s="200">
        <v>0</v>
      </c>
      <c r="W18" s="100"/>
      <c r="X18" s="100"/>
      <c r="Y18" s="100"/>
      <c r="Z18" s="100"/>
      <c r="AA18" s="100"/>
      <c r="AB18" s="100"/>
      <c r="AC18" s="100"/>
      <c r="AD18" s="101"/>
      <c r="AE18" s="34"/>
    </row>
    <row r="19" spans="1:31" x14ac:dyDescent="0.25">
      <c r="A19" s="34"/>
      <c r="B19" s="50" t="s">
        <v>77</v>
      </c>
      <c r="C19" s="34">
        <f>12/(IF($J$36="Yes",1,0)+1)*(IF($J$39="Yes",1,0)+1)</f>
        <v>12</v>
      </c>
      <c r="D19" s="34">
        <f t="shared" si="2"/>
        <v>6</v>
      </c>
      <c r="E19" s="25">
        <f t="shared" si="3"/>
        <v>6</v>
      </c>
      <c r="F19" s="46">
        <f t="shared" si="0"/>
        <v>3</v>
      </c>
      <c r="G19" s="26">
        <f t="shared" si="4"/>
        <v>1</v>
      </c>
      <c r="H19" s="27">
        <f t="shared" si="5"/>
        <v>12</v>
      </c>
      <c r="I19" s="138">
        <f t="shared" si="6"/>
        <v>3</v>
      </c>
      <c r="J19" s="28">
        <f t="shared" si="7"/>
        <v>4</v>
      </c>
      <c r="K19" s="126">
        <f t="shared" si="8"/>
        <v>1</v>
      </c>
      <c r="L19" s="50" t="str">
        <f t="shared" si="1"/>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78</v>
      </c>
      <c r="C20" s="113">
        <f>45/(IF($J$36="Yes",1,0)+1)*(IF($J$39="Yes",1,0)+1)</f>
        <v>45</v>
      </c>
      <c r="D20" s="113">
        <f t="shared" si="2"/>
        <v>23</v>
      </c>
      <c r="E20" s="29">
        <f t="shared" si="3"/>
        <v>23</v>
      </c>
      <c r="F20" s="48">
        <f t="shared" si="0"/>
        <v>12</v>
      </c>
      <c r="G20" s="117">
        <f t="shared" si="4"/>
        <v>3</v>
      </c>
      <c r="H20" s="120">
        <f t="shared" si="5"/>
        <v>45</v>
      </c>
      <c r="I20" s="30">
        <f t="shared" si="6"/>
        <v>12</v>
      </c>
      <c r="J20" s="124">
        <f t="shared" si="7"/>
        <v>15</v>
      </c>
      <c r="K20" s="49">
        <f t="shared" si="8"/>
        <v>2</v>
      </c>
      <c r="L20" s="129" t="str">
        <f t="shared" si="1"/>
        <v>Uzi Thug</v>
      </c>
      <c r="M20" s="47"/>
      <c r="N20" s="34"/>
      <c r="O20" s="100"/>
      <c r="P20" s="100"/>
      <c r="Q20" s="100"/>
      <c r="R20" s="100"/>
      <c r="S20" s="100"/>
      <c r="T20" s="100"/>
      <c r="U20" s="100"/>
      <c r="V20" s="100"/>
      <c r="W20" s="100"/>
      <c r="X20" s="200">
        <v>0</v>
      </c>
      <c r="Y20" s="200">
        <v>0</v>
      </c>
      <c r="Z20" s="100"/>
      <c r="AA20" s="100"/>
      <c r="AB20" s="100"/>
      <c r="AC20" s="100"/>
      <c r="AD20" s="101"/>
      <c r="AE20" s="34"/>
    </row>
    <row r="21" spans="1:31" x14ac:dyDescent="0.25">
      <c r="A21" s="34"/>
      <c r="B21" s="50" t="s">
        <v>80</v>
      </c>
      <c r="C21" s="34">
        <f>50/(IF($J$36="Yes",1,0)+1)*(IF($J$39="Yes",1,0)+1)</f>
        <v>50</v>
      </c>
      <c r="D21" s="34">
        <f t="shared" si="2"/>
        <v>25</v>
      </c>
      <c r="E21" s="25">
        <f t="shared" si="3"/>
        <v>25</v>
      </c>
      <c r="F21" s="46">
        <f t="shared" si="0"/>
        <v>13</v>
      </c>
      <c r="G21" s="26">
        <f t="shared" si="4"/>
        <v>3</v>
      </c>
      <c r="H21" s="27">
        <f t="shared" si="5"/>
        <v>50</v>
      </c>
      <c r="I21" s="138">
        <f t="shared" si="6"/>
        <v>13</v>
      </c>
      <c r="J21" s="28">
        <f t="shared" si="7"/>
        <v>17</v>
      </c>
      <c r="K21" s="126">
        <f t="shared" si="8"/>
        <v>2</v>
      </c>
      <c r="L21" s="50" t="str">
        <f t="shared" si="1"/>
        <v>Burst Pistol Thug</v>
      </c>
      <c r="M21" s="47"/>
      <c r="N21" s="34"/>
      <c r="O21" s="99"/>
      <c r="P21" s="99"/>
      <c r="Q21" s="99"/>
      <c r="R21" s="99"/>
      <c r="S21" s="99"/>
      <c r="T21" s="99"/>
      <c r="U21" s="99"/>
      <c r="V21" s="99"/>
      <c r="W21" s="99">
        <v>0</v>
      </c>
      <c r="X21" s="99">
        <v>0</v>
      </c>
      <c r="Y21" s="99">
        <v>0</v>
      </c>
      <c r="Z21" s="99"/>
      <c r="AA21" s="99"/>
      <c r="AB21" s="99"/>
      <c r="AC21" s="99"/>
      <c r="AD21" s="101"/>
      <c r="AE21" s="34"/>
    </row>
    <row r="22" spans="1:31" x14ac:dyDescent="0.25">
      <c r="A22" s="34"/>
      <c r="B22" s="129" t="s">
        <v>81</v>
      </c>
      <c r="C22" s="113">
        <f>100/(IF($J$36="Yes",1,0)+1)*(IF($J$39="Yes",1,0)+1)</f>
        <v>100</v>
      </c>
      <c r="D22" s="113">
        <f t="shared" si="2"/>
        <v>50</v>
      </c>
      <c r="E22" s="29">
        <f t="shared" si="3"/>
        <v>50</v>
      </c>
      <c r="F22" s="48">
        <f t="shared" si="0"/>
        <v>25</v>
      </c>
      <c r="G22" s="117">
        <f t="shared" si="4"/>
        <v>6</v>
      </c>
      <c r="H22" s="120">
        <f t="shared" si="5"/>
        <v>100</v>
      </c>
      <c r="I22" s="30">
        <f t="shared" si="6"/>
        <v>25</v>
      </c>
      <c r="J22" s="124">
        <f t="shared" si="7"/>
        <v>34</v>
      </c>
      <c r="K22" s="49">
        <f t="shared" si="8"/>
        <v>4</v>
      </c>
      <c r="L22" s="129" t="str">
        <f t="shared" si="1"/>
        <v>Snowmobile Thug</v>
      </c>
      <c r="M22" s="47"/>
      <c r="N22" s="34"/>
      <c r="O22" s="100"/>
      <c r="P22" s="100"/>
      <c r="Q22" s="100"/>
      <c r="R22" s="100"/>
      <c r="S22" s="100"/>
      <c r="T22" s="100"/>
      <c r="U22" s="100"/>
      <c r="V22" s="100"/>
      <c r="W22" s="200">
        <v>1</v>
      </c>
      <c r="X22" s="100"/>
      <c r="Y22" s="100"/>
      <c r="Z22" s="100"/>
      <c r="AA22" s="100"/>
      <c r="AB22" s="100"/>
      <c r="AC22" s="100"/>
      <c r="AD22" s="101"/>
      <c r="AE22" s="34"/>
    </row>
    <row r="23" spans="1:31" x14ac:dyDescent="0.25">
      <c r="A23" s="34"/>
      <c r="B23" s="50" t="s">
        <v>82</v>
      </c>
      <c r="C23" s="34">
        <f>20/(IF($J$36="Yes",1,0)+1)*(IF($J$39="Yes",1,0)+1)</f>
        <v>20</v>
      </c>
      <c r="D23" s="34">
        <f t="shared" si="2"/>
        <v>10</v>
      </c>
      <c r="E23" s="25">
        <f t="shared" si="3"/>
        <v>10</v>
      </c>
      <c r="F23" s="46">
        <f t="shared" si="0"/>
        <v>5</v>
      </c>
      <c r="G23" s="26">
        <f t="shared" si="4"/>
        <v>2</v>
      </c>
      <c r="H23" s="27">
        <f t="shared" si="5"/>
        <v>20</v>
      </c>
      <c r="I23" s="138">
        <f t="shared" si="6"/>
        <v>5</v>
      </c>
      <c r="J23" s="28">
        <f t="shared" si="7"/>
        <v>7</v>
      </c>
      <c r="K23" s="126">
        <f t="shared" si="8"/>
        <v>1</v>
      </c>
      <c r="L23" s="50" t="str">
        <f t="shared" si="1"/>
        <v>Snow Leopard</v>
      </c>
      <c r="M23" s="47"/>
      <c r="N23" s="34"/>
      <c r="O23" s="99"/>
      <c r="P23" s="99"/>
      <c r="Q23" s="99"/>
      <c r="R23" s="99"/>
      <c r="S23" s="99"/>
      <c r="T23" s="99"/>
      <c r="U23" s="99"/>
      <c r="V23" s="99"/>
      <c r="W23" s="99">
        <v>0</v>
      </c>
      <c r="X23" s="99"/>
      <c r="Y23" s="99">
        <v>0</v>
      </c>
      <c r="Z23" s="99"/>
      <c r="AA23" s="99"/>
      <c r="AB23" s="99"/>
      <c r="AC23" s="99"/>
      <c r="AD23" s="101"/>
      <c r="AE23" s="34"/>
    </row>
    <row r="24" spans="1:31" x14ac:dyDescent="0.25">
      <c r="A24" s="34"/>
      <c r="B24" s="129" t="s">
        <v>83</v>
      </c>
      <c r="C24" s="113">
        <f>30/(IF($J$36="Yes",1,0)+1)*(IF($J$39="Yes",1,0)+1)</f>
        <v>30</v>
      </c>
      <c r="D24" s="113">
        <f t="shared" si="2"/>
        <v>15</v>
      </c>
      <c r="E24" s="29">
        <f t="shared" si="3"/>
        <v>15</v>
      </c>
      <c r="F24" s="48">
        <f t="shared" si="0"/>
        <v>8</v>
      </c>
      <c r="G24" s="117">
        <f t="shared" si="4"/>
        <v>2</v>
      </c>
      <c r="H24" s="120">
        <f t="shared" si="5"/>
        <v>30</v>
      </c>
      <c r="I24" s="30">
        <f t="shared" si="6"/>
        <v>8</v>
      </c>
      <c r="J24" s="124">
        <f t="shared" si="7"/>
        <v>10</v>
      </c>
      <c r="K24" s="49">
        <f t="shared" si="8"/>
        <v>1</v>
      </c>
      <c r="L24" s="129" t="str">
        <f t="shared" si="1"/>
        <v>Monastery Monk</v>
      </c>
      <c r="M24" s="47"/>
      <c r="N24" s="34"/>
      <c r="O24" s="100"/>
      <c r="P24" s="100"/>
      <c r="Q24" s="100"/>
      <c r="R24" s="100"/>
      <c r="S24" s="100"/>
      <c r="T24" s="100"/>
      <c r="U24" s="100"/>
      <c r="V24" s="100"/>
      <c r="W24" s="100"/>
      <c r="X24" s="200">
        <v>0</v>
      </c>
      <c r="Y24" s="100"/>
      <c r="Z24" s="100"/>
      <c r="AA24" s="100"/>
      <c r="AB24" s="100"/>
      <c r="AC24" s="100"/>
      <c r="AD24" s="101"/>
      <c r="AE24" s="34"/>
    </row>
    <row r="25" spans="1:31" x14ac:dyDescent="0.25">
      <c r="A25" s="34"/>
      <c r="B25" s="50" t="s">
        <v>85</v>
      </c>
      <c r="C25" s="34">
        <f>12/(IF($J$36="Yes",1,0)+1)*(IF($J$39="Yes",1,0)+1)</f>
        <v>12</v>
      </c>
      <c r="D25" s="34">
        <f t="shared" si="2"/>
        <v>6</v>
      </c>
      <c r="E25" s="25">
        <f t="shared" si="3"/>
        <v>6</v>
      </c>
      <c r="F25" s="46">
        <f t="shared" si="0"/>
        <v>3</v>
      </c>
      <c r="G25" s="26">
        <f t="shared" si="4"/>
        <v>1</v>
      </c>
      <c r="H25" s="27">
        <f t="shared" si="5"/>
        <v>12</v>
      </c>
      <c r="I25" s="138">
        <f t="shared" si="6"/>
        <v>3</v>
      </c>
      <c r="J25" s="28">
        <f t="shared" si="7"/>
        <v>4</v>
      </c>
      <c r="K25" s="126">
        <f t="shared" si="8"/>
        <v>1</v>
      </c>
      <c r="L25" s="50" t="str">
        <f t="shared" si="1"/>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87</v>
      </c>
      <c r="C26" s="113">
        <f>30/(IF($J$36="Yes",1,0)+1)*(IF($J$39="Yes",1,0)+1)</f>
        <v>30</v>
      </c>
      <c r="D26" s="113">
        <f t="shared" si="2"/>
        <v>15</v>
      </c>
      <c r="E26" s="29">
        <f t="shared" si="3"/>
        <v>15</v>
      </c>
      <c r="F26" s="48">
        <f t="shared" si="0"/>
        <v>8</v>
      </c>
      <c r="G26" s="117">
        <f t="shared" si="4"/>
        <v>2</v>
      </c>
      <c r="H26" s="120">
        <f t="shared" si="5"/>
        <v>30</v>
      </c>
      <c r="I26" s="30">
        <f t="shared" si="6"/>
        <v>8</v>
      </c>
      <c r="J26" s="124">
        <f t="shared" si="7"/>
        <v>10</v>
      </c>
      <c r="K26" s="49">
        <f t="shared" si="8"/>
        <v>1</v>
      </c>
      <c r="L26" s="129" t="str">
        <f t="shared" si="1"/>
        <v>Yeti</v>
      </c>
      <c r="M26" s="47"/>
      <c r="N26" s="34"/>
      <c r="O26" s="100"/>
      <c r="P26" s="100"/>
      <c r="Q26" s="100"/>
      <c r="R26" s="100"/>
      <c r="S26" s="100"/>
      <c r="T26" s="100"/>
      <c r="U26" s="100"/>
      <c r="V26" s="100"/>
      <c r="W26" s="100"/>
      <c r="X26" s="100"/>
      <c r="Y26" s="200">
        <v>0</v>
      </c>
      <c r="Z26" s="200">
        <v>0</v>
      </c>
      <c r="AA26" s="100"/>
      <c r="AB26" s="100"/>
      <c r="AC26" s="100"/>
      <c r="AD26" s="101"/>
      <c r="AE26" s="34"/>
    </row>
    <row r="27" spans="1:31" x14ac:dyDescent="0.25">
      <c r="A27" s="34"/>
      <c r="B27" s="50" t="s">
        <v>88</v>
      </c>
      <c r="C27" s="34">
        <f>200/(IF($J$36="Yes",1,0)+1)*(IF($J$39="Yes",1,0)+1)</f>
        <v>200</v>
      </c>
      <c r="D27" s="34">
        <f t="shared" si="2"/>
        <v>100</v>
      </c>
      <c r="E27" s="25">
        <f t="shared" si="3"/>
        <v>100</v>
      </c>
      <c r="F27" s="46">
        <f t="shared" si="0"/>
        <v>50</v>
      </c>
      <c r="G27" s="26">
        <f t="shared" si="4"/>
        <v>12</v>
      </c>
      <c r="H27" s="27">
        <f t="shared" si="5"/>
        <v>200</v>
      </c>
      <c r="I27" s="138">
        <f t="shared" si="6"/>
        <v>50</v>
      </c>
      <c r="J27" s="28">
        <f t="shared" si="7"/>
        <v>67</v>
      </c>
      <c r="K27" s="126">
        <f t="shared" si="8"/>
        <v>7</v>
      </c>
      <c r="L27" s="50" t="str">
        <f t="shared" si="1"/>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90</v>
      </c>
      <c r="C28" s="113">
        <f>20/(IF($J$36="Yes",1,0)+1)*(IF($J$39="Yes",1,0)+1)</f>
        <v>20</v>
      </c>
      <c r="D28" s="113">
        <f t="shared" si="2"/>
        <v>10</v>
      </c>
      <c r="E28" s="29">
        <f t="shared" si="3"/>
        <v>10</v>
      </c>
      <c r="F28" s="48">
        <f t="shared" si="0"/>
        <v>5</v>
      </c>
      <c r="G28" s="117">
        <f t="shared" si="4"/>
        <v>2</v>
      </c>
      <c r="H28" s="120">
        <f t="shared" si="5"/>
        <v>20</v>
      </c>
      <c r="I28" s="30">
        <f t="shared" si="6"/>
        <v>5</v>
      </c>
      <c r="J28" s="124">
        <f t="shared" si="7"/>
        <v>7</v>
      </c>
      <c r="K28" s="49">
        <f t="shared" si="8"/>
        <v>1</v>
      </c>
      <c r="L28" s="129" t="str">
        <f t="shared" si="1"/>
        <v>Eagle</v>
      </c>
      <c r="M28" s="47"/>
      <c r="N28" s="34"/>
      <c r="O28" s="100"/>
      <c r="P28" s="100"/>
      <c r="Q28" s="100"/>
      <c r="R28" s="100"/>
      <c r="S28" s="100"/>
      <c r="T28" s="100"/>
      <c r="U28" s="100"/>
      <c r="V28" s="100"/>
      <c r="W28" s="200">
        <v>1</v>
      </c>
      <c r="X28" s="100"/>
      <c r="Y28" s="100"/>
      <c r="Z28" s="100"/>
      <c r="AA28" s="200">
        <v>2</v>
      </c>
      <c r="AB28" s="100"/>
      <c r="AC28" s="100"/>
      <c r="AD28" s="101"/>
      <c r="AE28" s="34"/>
    </row>
    <row r="29" spans="1:31" x14ac:dyDescent="0.25">
      <c r="A29" s="34"/>
      <c r="B29" s="50" t="s">
        <v>91</v>
      </c>
      <c r="C29" s="34">
        <f>40/(IF($J$36="Yes",1,0)+1)*(IF($J$39="Yes",1,0)+1)</f>
        <v>40</v>
      </c>
      <c r="D29" s="34">
        <f t="shared" si="2"/>
        <v>20</v>
      </c>
      <c r="E29" s="25">
        <f t="shared" si="3"/>
        <v>20</v>
      </c>
      <c r="F29" s="46">
        <f t="shared" si="0"/>
        <v>10</v>
      </c>
      <c r="G29" s="26">
        <f t="shared" si="4"/>
        <v>3</v>
      </c>
      <c r="H29" s="27">
        <f t="shared" si="5"/>
        <v>40</v>
      </c>
      <c r="I29" s="138">
        <f t="shared" si="6"/>
        <v>10</v>
      </c>
      <c r="J29" s="28">
        <f t="shared" si="7"/>
        <v>14</v>
      </c>
      <c r="K29" s="126">
        <f t="shared" si="8"/>
        <v>2</v>
      </c>
      <c r="L29" s="50" t="str">
        <f t="shared" si="1"/>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93</v>
      </c>
      <c r="C30" s="113">
        <f>80/(IF($J$36="Yes",1,0)+1)*(IF($J$39="Yes",1,0)+1)</f>
        <v>80</v>
      </c>
      <c r="D30" s="113">
        <f t="shared" si="2"/>
        <v>40</v>
      </c>
      <c r="E30" s="29">
        <f t="shared" si="3"/>
        <v>40</v>
      </c>
      <c r="F30" s="48">
        <f t="shared" si="0"/>
        <v>20</v>
      </c>
      <c r="G30" s="117">
        <f t="shared" si="4"/>
        <v>5</v>
      </c>
      <c r="H30" s="120">
        <f t="shared" si="5"/>
        <v>80</v>
      </c>
      <c r="I30" s="30">
        <f t="shared" si="6"/>
        <v>20</v>
      </c>
      <c r="J30" s="124">
        <f t="shared" si="7"/>
        <v>27</v>
      </c>
      <c r="K30" s="49">
        <f t="shared" si="8"/>
        <v>3</v>
      </c>
      <c r="L30" s="129" t="str">
        <f t="shared" si="1"/>
        <v>Sword Statue</v>
      </c>
      <c r="M30" s="47"/>
      <c r="N30" s="34"/>
      <c r="O30" s="100"/>
      <c r="P30" s="100"/>
      <c r="Q30" s="100"/>
      <c r="R30" s="100"/>
      <c r="S30" s="100"/>
      <c r="T30" s="100"/>
      <c r="U30" s="100"/>
      <c r="V30" s="100"/>
      <c r="W30" s="100"/>
      <c r="X30" s="100"/>
      <c r="Y30" s="100"/>
      <c r="Z30" s="100"/>
      <c r="AA30" s="100"/>
      <c r="AB30" s="200">
        <v>0</v>
      </c>
      <c r="AC30" s="100"/>
      <c r="AD30" s="101"/>
      <c r="AE30" s="34"/>
    </row>
    <row r="31" spans="1:31" x14ac:dyDescent="0.25">
      <c r="A31" s="34"/>
      <c r="B31" s="50" t="s">
        <v>94</v>
      </c>
      <c r="C31" s="34">
        <f>100/(IF($J$36="Yes",1,0)+1)*(IF($J$39="Yes",1,0)+1)</f>
        <v>100</v>
      </c>
      <c r="D31" s="34">
        <f t="shared" si="2"/>
        <v>50</v>
      </c>
      <c r="E31" s="25">
        <f t="shared" si="3"/>
        <v>50</v>
      </c>
      <c r="F31" s="46">
        <f t="shared" si="0"/>
        <v>25</v>
      </c>
      <c r="G31" s="26">
        <f t="shared" si="4"/>
        <v>6</v>
      </c>
      <c r="H31" s="27">
        <f t="shared" si="5"/>
        <v>100</v>
      </c>
      <c r="I31" s="138">
        <f t="shared" si="6"/>
        <v>25</v>
      </c>
      <c r="J31" s="28">
        <f t="shared" si="7"/>
        <v>34</v>
      </c>
      <c r="K31" s="126">
        <f t="shared" si="8"/>
        <v>4</v>
      </c>
      <c r="L31" s="50" t="str">
        <f t="shared" si="1"/>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95</v>
      </c>
      <c r="C32" s="113">
        <f>60/(IF($J$36="Yes",1,0)+1)*(IF($J$39="Yes",1,0)+1)</f>
        <v>60</v>
      </c>
      <c r="D32" s="113">
        <f t="shared" si="2"/>
        <v>30</v>
      </c>
      <c r="E32" s="29">
        <f t="shared" si="3"/>
        <v>30</v>
      </c>
      <c r="F32" s="48">
        <f t="shared" si="0"/>
        <v>15</v>
      </c>
      <c r="G32" s="119">
        <f t="shared" si="4"/>
        <v>4</v>
      </c>
      <c r="H32" s="120">
        <f t="shared" si="5"/>
        <v>60</v>
      </c>
      <c r="I32" s="30">
        <f t="shared" si="6"/>
        <v>15</v>
      </c>
      <c r="J32" s="124">
        <f t="shared" si="7"/>
        <v>20</v>
      </c>
      <c r="K32" s="49">
        <f t="shared" si="8"/>
        <v>2</v>
      </c>
      <c r="L32" s="129" t="str">
        <f t="shared" si="1"/>
        <v>Bartoli's Monk</v>
      </c>
      <c r="M32" s="47"/>
      <c r="N32" s="34"/>
      <c r="O32" s="100"/>
      <c r="P32" s="100"/>
      <c r="Q32" s="100"/>
      <c r="R32" s="100"/>
      <c r="S32" s="100"/>
      <c r="T32" s="100"/>
      <c r="U32" s="100"/>
      <c r="V32" s="100"/>
      <c r="W32" s="100"/>
      <c r="X32" s="100"/>
      <c r="Y32" s="100"/>
      <c r="Z32" s="100"/>
      <c r="AA32" s="100"/>
      <c r="AB32" s="200">
        <v>0</v>
      </c>
      <c r="AC32" s="200">
        <v>1</v>
      </c>
      <c r="AD32" s="101"/>
      <c r="AE32" s="34"/>
    </row>
    <row r="33" spans="1:31" x14ac:dyDescent="0.25">
      <c r="A33" s="34"/>
      <c r="B33" s="51" t="s">
        <v>54</v>
      </c>
      <c r="C33" s="52">
        <f>300/(IF($J$36="Yes",1,0)+1)*(IF($J$39="Yes",1,0)+1)</f>
        <v>300</v>
      </c>
      <c r="D33" s="53">
        <f t="shared" si="2"/>
        <v>150</v>
      </c>
      <c r="E33" s="54">
        <f t="shared" si="3"/>
        <v>150</v>
      </c>
      <c r="F33" s="55">
        <f t="shared" si="0"/>
        <v>75</v>
      </c>
      <c r="G33" s="56">
        <f t="shared" si="4"/>
        <v>17</v>
      </c>
      <c r="H33" s="57">
        <f t="shared" si="5"/>
        <v>300</v>
      </c>
      <c r="I33" s="139">
        <f t="shared" si="6"/>
        <v>75</v>
      </c>
      <c r="J33" s="58">
        <f t="shared" si="7"/>
        <v>100</v>
      </c>
      <c r="K33" s="127">
        <f t="shared" si="8"/>
        <v>10</v>
      </c>
      <c r="L33" s="130" t="str">
        <f t="shared" si="1"/>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99</v>
      </c>
      <c r="M34" s="179" t="s">
        <v>132</v>
      </c>
      <c r="N34" s="180" t="s">
        <v>132</v>
      </c>
      <c r="O34" s="180" t="s">
        <v>132</v>
      </c>
      <c r="P34" s="180" t="s">
        <v>132</v>
      </c>
      <c r="Q34" s="180" t="s">
        <v>132</v>
      </c>
      <c r="R34" s="180" t="s">
        <v>132</v>
      </c>
      <c r="S34" s="180" t="s">
        <v>132</v>
      </c>
      <c r="T34" s="180" t="s">
        <v>132</v>
      </c>
      <c r="U34" s="180" t="s">
        <v>132</v>
      </c>
      <c r="V34" s="180" t="s">
        <v>132</v>
      </c>
      <c r="W34" s="180" t="s">
        <v>132</v>
      </c>
      <c r="X34" s="180" t="s">
        <v>132</v>
      </c>
      <c r="Y34" s="180" t="s">
        <v>132</v>
      </c>
      <c r="Z34" s="180" t="s">
        <v>132</v>
      </c>
      <c r="AA34" s="180" t="s">
        <v>132</v>
      </c>
      <c r="AB34" s="180" t="s">
        <v>132</v>
      </c>
      <c r="AC34" s="180" t="s">
        <v>100</v>
      </c>
      <c r="AD34" s="181" t="s">
        <v>100</v>
      </c>
      <c r="AE34" s="34"/>
    </row>
    <row r="35" spans="1:31" x14ac:dyDescent="0.25">
      <c r="A35" s="59"/>
      <c r="B35" s="368" t="s">
        <v>101</v>
      </c>
      <c r="C35" s="60" t="s">
        <v>15</v>
      </c>
      <c r="D35" s="61" t="s">
        <v>16</v>
      </c>
      <c r="E35" s="62" t="s">
        <v>155</v>
      </c>
      <c r="F35" s="63" t="s">
        <v>35</v>
      </c>
      <c r="G35" s="64" t="s">
        <v>20</v>
      </c>
      <c r="H35" s="128" t="s">
        <v>38</v>
      </c>
      <c r="I35" s="34"/>
      <c r="J35" s="177" t="s">
        <v>102</v>
      </c>
      <c r="K35" s="34"/>
      <c r="L35" s="65" t="s">
        <v>103</v>
      </c>
      <c r="M35" s="362" t="s">
        <v>104</v>
      </c>
      <c r="N35" s="316"/>
      <c r="O35" s="316"/>
      <c r="P35" s="316"/>
      <c r="Q35" s="316"/>
      <c r="R35" s="316"/>
      <c r="S35" s="316"/>
      <c r="T35" s="316"/>
      <c r="U35" s="316"/>
      <c r="V35" s="316"/>
      <c r="W35" s="316"/>
      <c r="X35" s="316"/>
      <c r="Y35" s="316"/>
      <c r="Z35" s="316"/>
      <c r="AA35" s="316"/>
      <c r="AB35" s="316"/>
      <c r="AC35" s="316"/>
      <c r="AD35" s="317"/>
      <c r="AE35" s="34"/>
    </row>
    <row r="36" spans="1:31" x14ac:dyDescent="0.25">
      <c r="A36" s="59"/>
      <c r="B36" s="339"/>
      <c r="C36" s="29">
        <v>40</v>
      </c>
      <c r="D36" s="118">
        <v>2</v>
      </c>
      <c r="E36" s="122">
        <v>80</v>
      </c>
      <c r="F36" s="66">
        <v>3</v>
      </c>
      <c r="G36" s="131">
        <v>40</v>
      </c>
      <c r="H36" s="67">
        <v>2</v>
      </c>
      <c r="I36" s="34"/>
      <c r="J36" s="178" t="s">
        <v>132</v>
      </c>
      <c r="K36" s="34"/>
      <c r="L36" s="68" t="s">
        <v>105</v>
      </c>
      <c r="M36" s="69">
        <f>M5*$D$5+M6*$D$6+M7*$D$7+M8*$D$8</f>
        <v>0</v>
      </c>
      <c r="N36" s="69">
        <f t="shared" ref="N36:O36" si="9">N9*$D$9+N10*$D$10+N11*$D$11+N12*$D$12</f>
        <v>0</v>
      </c>
      <c r="O36" s="69">
        <f t="shared" si="9"/>
        <v>45</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27</v>
      </c>
      <c r="V36" s="69">
        <f>V11*$D$11+V14*$D$14+V16*$D$16+V17*$D$17+V18*$D$18+V19*$D$19</f>
        <v>34</v>
      </c>
      <c r="W36" s="69">
        <f>W21*$D$21+W22*$D$22+W23*$D$23+W28*$D$28</f>
        <v>60</v>
      </c>
      <c r="X36" s="69">
        <f>X6*$D$6+X20*$D$20+X21*$D$21+X24*$D$24</f>
        <v>0</v>
      </c>
      <c r="Y36" s="69">
        <f>Y20*$D$20+Y21*$D$21+Y23*$D$23+Y25*$D$25+Y26*$D$26</f>
        <v>0</v>
      </c>
      <c r="Z36" s="69">
        <f>Z5*$D$5+Z25*$D$25+Z26*$D$26+Z27*$D$27</f>
        <v>130</v>
      </c>
      <c r="AA36" s="69">
        <f>AA5*$D$5+AA7*$D$7+AA25*$D$25+AA28*$D$28+AA29*$D$29</f>
        <v>20</v>
      </c>
      <c r="AB36" s="69">
        <f>AB30*$D$30+AB31*$D$31+AB32*$D$32</f>
        <v>0</v>
      </c>
      <c r="AC36" s="69">
        <f>AC31*$D$31+AC32*$D$32+AC33*$D$33</f>
        <v>230</v>
      </c>
      <c r="AD36" s="70" t="s">
        <v>100</v>
      </c>
      <c r="AE36" s="34"/>
    </row>
    <row r="37" spans="1:31" x14ac:dyDescent="0.25">
      <c r="A37" s="34"/>
      <c r="B37" s="369" t="s">
        <v>106</v>
      </c>
      <c r="C37" s="366"/>
      <c r="D37" s="366"/>
      <c r="E37" s="366"/>
      <c r="F37" s="366"/>
      <c r="G37" s="366"/>
      <c r="H37" s="367"/>
      <c r="I37" s="34"/>
      <c r="J37" s="71"/>
      <c r="K37" s="34"/>
      <c r="L37" s="72" t="s">
        <v>107</v>
      </c>
      <c r="M37" s="46" t="s">
        <v>100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73" t="s">
        <v>100</v>
      </c>
      <c r="AE37" s="34"/>
    </row>
    <row r="38" spans="1:31" x14ac:dyDescent="0.25">
      <c r="A38" s="34"/>
      <c r="B38" s="365" t="s">
        <v>108</v>
      </c>
      <c r="C38" s="366"/>
      <c r="D38" s="366"/>
      <c r="E38" s="366"/>
      <c r="F38" s="366"/>
      <c r="G38" s="366"/>
      <c r="H38" s="367"/>
      <c r="I38" s="34"/>
      <c r="J38" s="177" t="s">
        <v>109</v>
      </c>
      <c r="K38" s="34"/>
      <c r="L38" s="26" t="s">
        <v>110</v>
      </c>
      <c r="M38" s="74">
        <v>0</v>
      </c>
      <c r="N38" s="74">
        <v>0</v>
      </c>
      <c r="O38" s="74">
        <v>0</v>
      </c>
      <c r="P38" s="74">
        <v>0</v>
      </c>
      <c r="Q38" s="74">
        <v>0</v>
      </c>
      <c r="R38" s="74">
        <v>0</v>
      </c>
      <c r="S38" s="74">
        <v>0</v>
      </c>
      <c r="T38" s="74">
        <v>0</v>
      </c>
      <c r="U38" s="74">
        <v>0</v>
      </c>
      <c r="V38" s="74">
        <v>0</v>
      </c>
      <c r="W38" s="74">
        <v>0</v>
      </c>
      <c r="X38" s="74">
        <v>0</v>
      </c>
      <c r="Y38" s="74">
        <v>0</v>
      </c>
      <c r="Z38" s="74">
        <v>0</v>
      </c>
      <c r="AA38" s="74">
        <v>0</v>
      </c>
      <c r="AB38" s="74">
        <v>0</v>
      </c>
      <c r="AC38" s="74">
        <v>0</v>
      </c>
      <c r="AD38" s="75">
        <f>AD10+(AD11+AD12)*2+9</f>
        <v>35</v>
      </c>
      <c r="AE38" s="34"/>
    </row>
    <row r="39" spans="1:31" x14ac:dyDescent="0.25">
      <c r="A39" s="34"/>
      <c r="B39" s="365" t="s">
        <v>137</v>
      </c>
      <c r="C39" s="366"/>
      <c r="D39" s="366"/>
      <c r="E39" s="366"/>
      <c r="F39" s="366"/>
      <c r="G39" s="366"/>
      <c r="H39" s="367"/>
      <c r="I39" s="34"/>
      <c r="J39" s="178" t="s">
        <v>132</v>
      </c>
      <c r="K39" s="34"/>
      <c r="L39" s="76" t="s">
        <v>111</v>
      </c>
      <c r="M39" s="77" t="s">
        <v>100</v>
      </c>
      <c r="N39" s="77" t="s">
        <v>100</v>
      </c>
      <c r="O39" s="77">
        <v>0</v>
      </c>
      <c r="P39" s="77">
        <v>0</v>
      </c>
      <c r="Q39" s="77" t="str">
        <f>IF($Q$34="No","--",0)</f>
        <v>--</v>
      </c>
      <c r="R39" s="77">
        <v>0</v>
      </c>
      <c r="S39" s="77">
        <v>0</v>
      </c>
      <c r="T39" s="77">
        <v>0</v>
      </c>
      <c r="U39" s="77">
        <v>0</v>
      </c>
      <c r="V39" s="77">
        <v>0</v>
      </c>
      <c r="W39" s="77">
        <v>0</v>
      </c>
      <c r="X39" s="77">
        <v>0</v>
      </c>
      <c r="Y39" s="77">
        <v>0</v>
      </c>
      <c r="Z39" s="77">
        <v>0</v>
      </c>
      <c r="AA39" s="77">
        <v>0</v>
      </c>
      <c r="AB39" s="77">
        <v>0</v>
      </c>
      <c r="AC39" s="77">
        <v>0</v>
      </c>
      <c r="AD39" s="78" t="s">
        <v>100</v>
      </c>
      <c r="AE39" s="34"/>
    </row>
    <row r="40" spans="1:31" x14ac:dyDescent="0.25">
      <c r="A40" s="34"/>
      <c r="B40" s="365" t="s">
        <v>112</v>
      </c>
      <c r="C40" s="366"/>
      <c r="D40" s="366"/>
      <c r="E40" s="366"/>
      <c r="F40" s="366"/>
      <c r="G40" s="366"/>
      <c r="H40" s="367"/>
      <c r="I40" s="34"/>
      <c r="J40" s="34"/>
      <c r="K40" s="34"/>
      <c r="L40" s="254" t="s">
        <v>35</v>
      </c>
      <c r="M40" s="255" t="s">
        <v>100</v>
      </c>
      <c r="N40" s="255" t="s">
        <v>100</v>
      </c>
      <c r="O40" s="255" t="s">
        <v>100</v>
      </c>
      <c r="P40" s="255" t="s">
        <v>100</v>
      </c>
      <c r="Q40" s="255">
        <v>0</v>
      </c>
      <c r="R40" s="255">
        <v>0</v>
      </c>
      <c r="S40" s="255">
        <v>0</v>
      </c>
      <c r="T40" s="255">
        <v>0</v>
      </c>
      <c r="U40" s="255">
        <v>0</v>
      </c>
      <c r="V40" s="255">
        <v>0</v>
      </c>
      <c r="W40" s="255">
        <v>0</v>
      </c>
      <c r="X40" s="255">
        <v>0</v>
      </c>
      <c r="Y40" s="255">
        <v>0</v>
      </c>
      <c r="Z40" s="255">
        <v>0</v>
      </c>
      <c r="AA40" s="255">
        <v>0</v>
      </c>
      <c r="AB40" s="255">
        <v>0</v>
      </c>
      <c r="AC40" s="255">
        <v>0</v>
      </c>
      <c r="AD40" s="256" t="s">
        <v>100</v>
      </c>
      <c r="AE40" s="34"/>
    </row>
    <row r="41" spans="1:31" x14ac:dyDescent="0.25">
      <c r="A41" s="34"/>
      <c r="B41" s="358" t="s">
        <v>119</v>
      </c>
      <c r="C41" s="359"/>
      <c r="D41" s="359"/>
      <c r="E41" s="359"/>
      <c r="F41" s="359"/>
      <c r="G41" s="359"/>
      <c r="H41" s="360"/>
      <c r="I41" s="34"/>
      <c r="J41" s="177" t="s">
        <v>160</v>
      </c>
      <c r="K41" s="34"/>
      <c r="L41" s="80" t="s">
        <v>113</v>
      </c>
      <c r="M41" s="81" t="s">
        <v>100</v>
      </c>
      <c r="N41" s="81" t="s">
        <v>100</v>
      </c>
      <c r="O41" s="81" t="s">
        <v>100</v>
      </c>
      <c r="P41" s="81" t="s">
        <v>100</v>
      </c>
      <c r="Q41" s="81" t="s">
        <v>100</v>
      </c>
      <c r="R41" s="81">
        <v>0</v>
      </c>
      <c r="S41" s="82">
        <v>0</v>
      </c>
      <c r="T41" s="82">
        <v>0</v>
      </c>
      <c r="U41" s="82">
        <v>0</v>
      </c>
      <c r="V41" s="82">
        <v>0</v>
      </c>
      <c r="W41" s="82">
        <v>0</v>
      </c>
      <c r="X41" s="82">
        <v>0</v>
      </c>
      <c r="Y41" s="82">
        <v>0</v>
      </c>
      <c r="Z41" s="82">
        <v>0</v>
      </c>
      <c r="AA41" s="82">
        <v>0</v>
      </c>
      <c r="AB41" s="82">
        <v>0</v>
      </c>
      <c r="AC41" s="82">
        <v>0</v>
      </c>
      <c r="AD41" s="83" t="s">
        <v>100</v>
      </c>
      <c r="AE41" s="34"/>
    </row>
    <row r="42" spans="1:31" ht="15.75" customHeight="1" x14ac:dyDescent="0.25">
      <c r="A42" s="59"/>
      <c r="B42" s="345" t="s">
        <v>146</v>
      </c>
      <c r="C42" s="346"/>
      <c r="D42" s="346"/>
      <c r="E42" s="346"/>
      <c r="F42" s="346"/>
      <c r="G42" s="346"/>
      <c r="H42" s="347"/>
      <c r="I42" s="34"/>
      <c r="J42" s="178" t="s">
        <v>132</v>
      </c>
      <c r="K42" s="34"/>
      <c r="L42" s="140" t="s">
        <v>38</v>
      </c>
      <c r="M42" s="141" t="str">
        <f>IF($M$34="No","--",0)</f>
        <v>--</v>
      </c>
      <c r="N42" s="141" t="str">
        <f>IF($M$34="No","--",0)</f>
        <v>--</v>
      </c>
      <c r="O42" s="141" t="str">
        <f>IF($M$34="No","--",0)</f>
        <v>--</v>
      </c>
      <c r="P42" s="141">
        <v>0</v>
      </c>
      <c r="Q42" s="141" t="s">
        <v>100</v>
      </c>
      <c r="R42" s="141" t="s">
        <v>100</v>
      </c>
      <c r="S42" s="141" t="s">
        <v>100</v>
      </c>
      <c r="T42" s="141" t="str">
        <f>IF($T$34="No","--",0)</f>
        <v>--</v>
      </c>
      <c r="U42" s="141" t="str">
        <f>IF($T$34="No","--",0)</f>
        <v>--</v>
      </c>
      <c r="V42" s="141">
        <v>0</v>
      </c>
      <c r="W42" s="141">
        <v>0</v>
      </c>
      <c r="X42" s="141">
        <v>0</v>
      </c>
      <c r="Y42" s="141">
        <v>0</v>
      </c>
      <c r="Z42" s="141">
        <v>0</v>
      </c>
      <c r="AA42" s="141">
        <v>0</v>
      </c>
      <c r="AB42" s="141">
        <v>0</v>
      </c>
      <c r="AC42" s="142">
        <f>K33</f>
        <v>10</v>
      </c>
      <c r="AD42" s="143" t="s">
        <v>100</v>
      </c>
      <c r="AE42" s="34"/>
    </row>
    <row r="43" spans="1:31" x14ac:dyDescent="0.25">
      <c r="A43" s="59"/>
      <c r="B43" s="348"/>
      <c r="C43" s="349"/>
      <c r="D43" s="349"/>
      <c r="E43" s="349"/>
      <c r="F43" s="349"/>
      <c r="G43" s="349"/>
      <c r="H43" s="350"/>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8"/>
      <c r="C44" s="349"/>
      <c r="D44" s="349"/>
      <c r="E44" s="349"/>
      <c r="F44" s="349"/>
      <c r="G44" s="349"/>
      <c r="H44" s="350"/>
      <c r="I44" s="34"/>
      <c r="J44" s="34"/>
      <c r="K44" s="34"/>
      <c r="L44" s="338" t="s">
        <v>7</v>
      </c>
      <c r="M44" s="341" t="s">
        <v>114</v>
      </c>
      <c r="N44" s="342"/>
      <c r="O44" s="342"/>
      <c r="P44" s="342"/>
      <c r="Q44" s="342"/>
      <c r="R44" s="342"/>
      <c r="S44" s="342"/>
      <c r="T44" s="342"/>
      <c r="U44" s="342"/>
      <c r="V44" s="342"/>
      <c r="W44" s="342"/>
      <c r="X44" s="342"/>
      <c r="Y44" s="342"/>
      <c r="Z44" s="342"/>
      <c r="AA44" s="342"/>
      <c r="AB44" s="342"/>
      <c r="AC44" s="342"/>
      <c r="AD44" s="343"/>
      <c r="AE44" s="34"/>
    </row>
    <row r="45" spans="1:31" x14ac:dyDescent="0.25">
      <c r="A45" s="59"/>
      <c r="B45" s="348"/>
      <c r="C45" s="349"/>
      <c r="D45" s="349"/>
      <c r="E45" s="349"/>
      <c r="F45" s="349"/>
      <c r="G45" s="349"/>
      <c r="H45" s="350"/>
      <c r="I45" s="34"/>
      <c r="J45" s="34"/>
      <c r="K45" s="34"/>
      <c r="L45" s="339"/>
      <c r="M45" s="337" t="s">
        <v>15</v>
      </c>
      <c r="N45" s="319"/>
      <c r="O45" s="319"/>
      <c r="P45" s="340" t="s">
        <v>16</v>
      </c>
      <c r="Q45" s="319"/>
      <c r="R45" s="319"/>
      <c r="S45" s="344" t="s">
        <v>17</v>
      </c>
      <c r="T45" s="319"/>
      <c r="U45" s="319"/>
      <c r="V45" s="370" t="s">
        <v>35</v>
      </c>
      <c r="W45" s="371"/>
      <c r="X45" s="372"/>
      <c r="Y45" s="336" t="s">
        <v>20</v>
      </c>
      <c r="Z45" s="319"/>
      <c r="AA45" s="319"/>
      <c r="AB45" s="373" t="s">
        <v>38</v>
      </c>
      <c r="AC45" s="374"/>
      <c r="AD45" s="375"/>
      <c r="AE45" s="34"/>
    </row>
    <row r="46" spans="1:31" ht="15.75" customHeight="1" x14ac:dyDescent="0.25">
      <c r="A46" s="59"/>
      <c r="B46" s="348"/>
      <c r="C46" s="349"/>
      <c r="D46" s="349"/>
      <c r="E46" s="349"/>
      <c r="F46" s="349"/>
      <c r="G46" s="349"/>
      <c r="H46" s="350"/>
      <c r="I46" s="34"/>
      <c r="J46" s="262"/>
      <c r="K46" s="263"/>
      <c r="L46" s="339"/>
      <c r="M46" s="208" t="s">
        <v>115</v>
      </c>
      <c r="N46" s="209" t="s">
        <v>36</v>
      </c>
      <c r="O46" s="209" t="s">
        <v>116</v>
      </c>
      <c r="P46" s="118" t="s">
        <v>115</v>
      </c>
      <c r="Q46" s="210" t="s">
        <v>36</v>
      </c>
      <c r="R46" s="133" t="s">
        <v>116</v>
      </c>
      <c r="S46" s="211" t="s">
        <v>115</v>
      </c>
      <c r="T46" s="211" t="s">
        <v>36</v>
      </c>
      <c r="U46" s="211" t="s">
        <v>116</v>
      </c>
      <c r="V46" s="93" t="s">
        <v>115</v>
      </c>
      <c r="W46" s="144" t="s">
        <v>36</v>
      </c>
      <c r="X46" s="66" t="s">
        <v>116</v>
      </c>
      <c r="Y46" s="212" t="s">
        <v>115</v>
      </c>
      <c r="Z46" s="212" t="s">
        <v>36</v>
      </c>
      <c r="AA46" s="212" t="s">
        <v>116</v>
      </c>
      <c r="AB46" s="84" t="s">
        <v>115</v>
      </c>
      <c r="AC46" s="213" t="s">
        <v>36</v>
      </c>
      <c r="AD46" s="214" t="s">
        <v>116</v>
      </c>
      <c r="AE46" s="34"/>
    </row>
    <row r="47" spans="1:31" x14ac:dyDescent="0.25">
      <c r="A47" s="59"/>
      <c r="B47" s="348"/>
      <c r="C47" s="349"/>
      <c r="D47" s="349"/>
      <c r="E47" s="349"/>
      <c r="F47" s="349"/>
      <c r="G47" s="349"/>
      <c r="H47" s="350"/>
      <c r="I47" s="34"/>
      <c r="J47" s="262"/>
      <c r="K47" s="263"/>
      <c r="L47" s="85" t="str">
        <f>M4</f>
        <v>Great Wall</v>
      </c>
      <c r="M47" s="215" t="str">
        <f>M37</f>
        <v>--</v>
      </c>
      <c r="N47" s="86">
        <v>0</v>
      </c>
      <c r="O47" s="86">
        <f>IF(ISNUMBER(N47),N47*$C$36,0)-IF(ISNUMBER(M47),M47,0)</f>
        <v>0</v>
      </c>
      <c r="P47" s="61">
        <f>M38</f>
        <v>0</v>
      </c>
      <c r="Q47" s="87">
        <v>1</v>
      </c>
      <c r="R47" s="88">
        <f>2+IF(ISNUMBER(Q47),Q47*$D$36,0)-IF(ISNUMBER(P47),P47,0)</f>
        <v>4</v>
      </c>
      <c r="S47" s="89" t="str">
        <f>M39</f>
        <v>--</v>
      </c>
      <c r="T47" s="89" t="s">
        <v>100</v>
      </c>
      <c r="U47" s="89" t="s">
        <v>100</v>
      </c>
      <c r="V47" s="90" t="s">
        <v>100</v>
      </c>
      <c r="W47" s="110" t="s">
        <v>100</v>
      </c>
      <c r="X47" s="63" t="s">
        <v>100</v>
      </c>
      <c r="Y47" s="91" t="s">
        <v>100</v>
      </c>
      <c r="Z47" s="91" t="s">
        <v>100</v>
      </c>
      <c r="AA47" s="91" t="s">
        <v>100</v>
      </c>
      <c r="AB47" s="134" t="str">
        <f>M42</f>
        <v>--</v>
      </c>
      <c r="AC47" s="135">
        <v>0</v>
      </c>
      <c r="AD47" s="216">
        <f>IF(ISNUMBER(AC47),AC47*$H$36,0)-IF(ISNUMBER(AB47),AB47,0)+IF(M$34="Yes",6,0)</f>
        <v>0</v>
      </c>
      <c r="AE47" s="34"/>
    </row>
    <row r="48" spans="1:31" x14ac:dyDescent="0.25">
      <c r="A48" s="59"/>
      <c r="B48" s="351"/>
      <c r="C48" s="352"/>
      <c r="D48" s="352"/>
      <c r="E48" s="352"/>
      <c r="F48" s="352"/>
      <c r="G48" s="352"/>
      <c r="H48" s="353"/>
      <c r="I48" s="34"/>
      <c r="J48" s="34"/>
      <c r="K48" s="34"/>
      <c r="L48" s="92" t="str">
        <f>N4</f>
        <v>Venice</v>
      </c>
      <c r="M48" s="251">
        <f>N37*2</f>
        <v>0</v>
      </c>
      <c r="N48" s="209">
        <v>0</v>
      </c>
      <c r="O48" s="209">
        <f>O47+IF(ISNUMBER(N48),N48*$C$36,0)-IF(ISNUMBER(M48),M48,0)+IF(N$34="Yes",160,0)</f>
        <v>0</v>
      </c>
      <c r="P48" s="118">
        <f>N38</f>
        <v>0</v>
      </c>
      <c r="Q48" s="210">
        <v>0</v>
      </c>
      <c r="R48" s="133">
        <f>R47+IF(ISNUMBER(Q48),Q48*$D$36,0)-IF(ISNUMBER(P48),P48,0)</f>
        <v>4</v>
      </c>
      <c r="S48" s="211" t="str">
        <f>N39</f>
        <v>--</v>
      </c>
      <c r="T48" s="211">
        <v>0</v>
      </c>
      <c r="U48" s="211">
        <f>IF(ISNUMBER(T48),T48*$E$36,0)-IF(ISNUMBER(S48),S48,0)</f>
        <v>0</v>
      </c>
      <c r="V48" s="93" t="s">
        <v>100</v>
      </c>
      <c r="W48" s="144" t="s">
        <v>100</v>
      </c>
      <c r="X48" s="66" t="s">
        <v>100</v>
      </c>
      <c r="Y48" s="212" t="s">
        <v>100</v>
      </c>
      <c r="Z48" s="212">
        <v>0</v>
      </c>
      <c r="AA48" s="212">
        <f>IF(ISNUMBER(Z48),Z48*$G$36,0)-IF(ISNUMBER(Y48),Y48,0)</f>
        <v>0</v>
      </c>
      <c r="AB48" s="84" t="str">
        <f>N42</f>
        <v>--</v>
      </c>
      <c r="AC48" s="213" t="s">
        <v>100</v>
      </c>
      <c r="AD48" s="214">
        <f>AD47+IF(ISNUMBER(AC48),AC48*$H$36,0)-IF(ISNUMBER(AB48),AB48,0)</f>
        <v>0</v>
      </c>
      <c r="AE48" s="34"/>
    </row>
    <row r="49" spans="1:31" x14ac:dyDescent="0.25">
      <c r="A49" s="34"/>
      <c r="B49" s="34"/>
      <c r="C49" s="34"/>
      <c r="D49" s="34"/>
      <c r="E49" s="34"/>
      <c r="F49" s="34"/>
      <c r="G49" s="34"/>
      <c r="H49" s="34"/>
      <c r="I49" s="34"/>
      <c r="J49" s="34"/>
      <c r="K49" s="34"/>
      <c r="L49" s="94" t="str">
        <f>O4</f>
        <v>Hideout</v>
      </c>
      <c r="M49" s="217">
        <f>O37*2</f>
        <v>0</v>
      </c>
      <c r="N49" s="218">
        <v>0</v>
      </c>
      <c r="O49" s="218">
        <f>O48+IF(ISNUMBER(N49),N49*$C$36,0)-IF(ISNUMBER(M49),M49,0)</f>
        <v>0</v>
      </c>
      <c r="P49" s="95">
        <f>O38</f>
        <v>0</v>
      </c>
      <c r="Q49" s="219">
        <v>1</v>
      </c>
      <c r="R49" s="75">
        <f>R48+IF(ISNUMBER(Q49),Q49*$D$36,0)-IF(ISNUMBER(P49),P49,0)+IF(O$34="Yes",8,0)</f>
        <v>6</v>
      </c>
      <c r="S49" s="220">
        <f>O39</f>
        <v>0</v>
      </c>
      <c r="T49" s="220">
        <v>0</v>
      </c>
      <c r="U49" s="220">
        <f>U48+IF(ISNUMBER(T49),T49*$E$36,0)-IF(ISNUMBER(S49),S49,0)</f>
        <v>0</v>
      </c>
      <c r="V49" s="96" t="s">
        <v>100</v>
      </c>
      <c r="W49" s="221" t="s">
        <v>100</v>
      </c>
      <c r="X49" s="79" t="s">
        <v>100</v>
      </c>
      <c r="Y49" s="222" t="s">
        <v>100</v>
      </c>
      <c r="Z49" s="222" t="s">
        <v>100</v>
      </c>
      <c r="AA49" s="222">
        <f>AA48+IF(ISNUMBER(Z49),Z49*$G$36,0)-IF(ISNUMBER(Y49),Y49,0)</f>
        <v>0</v>
      </c>
      <c r="AB49" s="136" t="str">
        <f>O42</f>
        <v>--</v>
      </c>
      <c r="AC49" s="223">
        <v>0</v>
      </c>
      <c r="AD49" s="224">
        <f t="shared" ref="AD49:AD63" si="10">AD48+IF(ISNUMBER(AC49),AC49*$H$36,0)-IF(ISNUMBER(AB49),AB49,0)</f>
        <v>0</v>
      </c>
      <c r="AE49" s="34"/>
    </row>
    <row r="50" spans="1:31" x14ac:dyDescent="0.25">
      <c r="A50" s="34"/>
      <c r="B50" s="34"/>
      <c r="C50" s="34"/>
      <c r="D50" s="34"/>
      <c r="E50" s="34"/>
      <c r="F50" s="34"/>
      <c r="G50" s="252"/>
      <c r="H50" s="34"/>
      <c r="I50" s="34"/>
      <c r="J50" s="34"/>
      <c r="K50" s="34"/>
      <c r="L50" s="92" t="str">
        <f>P4</f>
        <v>Opera</v>
      </c>
      <c r="M50" s="208">
        <f>P37*2</f>
        <v>0</v>
      </c>
      <c r="N50" s="209">
        <v>0</v>
      </c>
      <c r="O50" s="209">
        <f t="shared" ref="O50:O63" si="11">O49+IF(ISNUMBER(N50),N50*$C$36,0)-IF(ISNUMBER(M50),M50,0)</f>
        <v>0</v>
      </c>
      <c r="P50" s="118">
        <f>P38</f>
        <v>0</v>
      </c>
      <c r="Q50" s="210">
        <v>0</v>
      </c>
      <c r="R50" s="133">
        <f>R49+IF(ISNUMBER(Q50),Q50*$D$36,0)-IF(ISNUMBER(P50),P50,0)</f>
        <v>6</v>
      </c>
      <c r="S50" s="211">
        <f>P39</f>
        <v>0</v>
      </c>
      <c r="T50" s="211">
        <v>0</v>
      </c>
      <c r="U50" s="211">
        <f>U49+IF(ISNUMBER(T50),T50*$E$36,0)-IF(ISNUMBER(S50),S50,0)+IF(P$34="Yes",320,0)</f>
        <v>0</v>
      </c>
      <c r="V50" s="93" t="s">
        <v>100</v>
      </c>
      <c r="W50" s="144" t="s">
        <v>100</v>
      </c>
      <c r="X50" s="66" t="s">
        <v>100</v>
      </c>
      <c r="Y50" s="212" t="s">
        <v>100</v>
      </c>
      <c r="Z50" s="212" t="s">
        <v>100</v>
      </c>
      <c r="AA50" s="212">
        <f t="shared" ref="AA50:AA53" si="12">AA49+IF(ISNUMBER(Z50),Z50*$G$36,0)-IF(ISNUMBER(Y50),Y50,0)</f>
        <v>0</v>
      </c>
      <c r="AB50" s="84">
        <f>P42</f>
        <v>0</v>
      </c>
      <c r="AC50" s="213">
        <v>0</v>
      </c>
      <c r="AD50" s="214">
        <f t="shared" si="10"/>
        <v>0</v>
      </c>
      <c r="AE50" s="34"/>
    </row>
    <row r="51" spans="1:31" x14ac:dyDescent="0.25">
      <c r="A51" s="34"/>
      <c r="B51" s="34"/>
      <c r="C51" s="34"/>
      <c r="D51" s="34"/>
      <c r="E51" s="34"/>
      <c r="F51" s="34"/>
      <c r="G51" s="34"/>
      <c r="H51" s="34"/>
      <c r="I51" s="34"/>
      <c r="J51" s="34"/>
      <c r="K51" s="34"/>
      <c r="L51" s="94" t="str">
        <f>Q4</f>
        <v>Offshore</v>
      </c>
      <c r="M51" s="217">
        <f>Q37*2</f>
        <v>0</v>
      </c>
      <c r="N51" s="218">
        <v>2</v>
      </c>
      <c r="O51" s="218">
        <f t="shared" si="11"/>
        <v>80</v>
      </c>
      <c r="P51" s="95">
        <f>Q38</f>
        <v>0</v>
      </c>
      <c r="Q51" s="219">
        <v>0</v>
      </c>
      <c r="R51" s="75">
        <f t="shared" ref="R51:R63" si="13">R50+IF(ISNUMBER(Q51),Q51*$D$36,0)-IF(ISNUMBER(P51),P51,0)</f>
        <v>6</v>
      </c>
      <c r="S51" s="220" t="str">
        <f>Q39</f>
        <v>--</v>
      </c>
      <c r="T51" s="220">
        <v>0</v>
      </c>
      <c r="U51" s="220">
        <f>U50+IF(ISNUMBER(T51),T51*$E$36,0)-IF(ISNUMBER(S51),S51,0)+IF(Q$34="Yes",240,0)</f>
        <v>0</v>
      </c>
      <c r="V51" s="96">
        <f>Q40</f>
        <v>0</v>
      </c>
      <c r="W51" s="221">
        <v>0</v>
      </c>
      <c r="X51" s="79">
        <f>IF(ISNUMBER(W51),W51*$F$36,0)-IF(ISNUMBER(V51),V51,0)</f>
        <v>0</v>
      </c>
      <c r="Y51" s="222" t="s">
        <v>100</v>
      </c>
      <c r="Z51" s="222" t="s">
        <v>100</v>
      </c>
      <c r="AA51" s="222">
        <f t="shared" si="12"/>
        <v>0</v>
      </c>
      <c r="AB51" s="136" t="s">
        <v>100</v>
      </c>
      <c r="AC51" s="223" t="s">
        <v>100</v>
      </c>
      <c r="AD51" s="224">
        <f t="shared" si="10"/>
        <v>0</v>
      </c>
      <c r="AE51" s="34"/>
    </row>
    <row r="52" spans="1:31" x14ac:dyDescent="0.25">
      <c r="A52" s="34"/>
      <c r="B52" s="34"/>
      <c r="C52" s="34"/>
      <c r="D52" s="34"/>
      <c r="E52" s="34"/>
      <c r="F52" s="34"/>
      <c r="G52" s="34"/>
      <c r="H52" s="34"/>
      <c r="I52" s="34"/>
      <c r="J52" s="34"/>
      <c r="K52" s="34"/>
      <c r="L52" s="92" t="str">
        <f>R4</f>
        <v>Diving</v>
      </c>
      <c r="M52" s="208">
        <f>R37*2</f>
        <v>0</v>
      </c>
      <c r="N52" s="209">
        <v>2</v>
      </c>
      <c r="O52" s="209">
        <f t="shared" si="11"/>
        <v>160</v>
      </c>
      <c r="P52" s="118">
        <f>R38</f>
        <v>0</v>
      </c>
      <c r="Q52" s="210">
        <v>0</v>
      </c>
      <c r="R52" s="133">
        <f t="shared" si="13"/>
        <v>6</v>
      </c>
      <c r="S52" s="211">
        <f>R39</f>
        <v>0</v>
      </c>
      <c r="T52" s="211">
        <v>0</v>
      </c>
      <c r="U52" s="211">
        <f>U51+IF(ISNUMBER(T52),T52*$E$36,0)-IF(ISNUMBER(S52),S52,0)+IF(R$34="Yes",320,0)</f>
        <v>0</v>
      </c>
      <c r="V52" s="93">
        <f>R40</f>
        <v>0</v>
      </c>
      <c r="W52" s="144">
        <v>0</v>
      </c>
      <c r="X52" s="66">
        <f>X51+IF(ISNUMBER(W52),W52*$F$36,0)-IF(ISNUMBER(V52),V52,0)</f>
        <v>0</v>
      </c>
      <c r="Y52" s="212">
        <f>R41</f>
        <v>0</v>
      </c>
      <c r="Z52" s="212">
        <v>0</v>
      </c>
      <c r="AA52" s="212">
        <f t="shared" si="12"/>
        <v>0</v>
      </c>
      <c r="AB52" s="84" t="s">
        <v>100</v>
      </c>
      <c r="AC52" s="213">
        <v>0</v>
      </c>
      <c r="AD52" s="214">
        <f t="shared" si="10"/>
        <v>0</v>
      </c>
      <c r="AE52" s="34"/>
    </row>
    <row r="53" spans="1:31" x14ac:dyDescent="0.25">
      <c r="A53" s="34"/>
      <c r="B53" s="34"/>
      <c r="C53" s="34"/>
      <c r="D53" s="34"/>
      <c r="E53" s="34"/>
      <c r="F53" s="34"/>
      <c r="G53" s="34"/>
      <c r="H53" s="34"/>
      <c r="I53" s="34"/>
      <c r="J53" s="34"/>
      <c r="K53" s="34"/>
      <c r="L53" s="94" t="str">
        <f>S4</f>
        <v>Fathoms</v>
      </c>
      <c r="M53" s="217">
        <f>S37*2</f>
        <v>0</v>
      </c>
      <c r="N53" s="218" t="s">
        <v>100</v>
      </c>
      <c r="O53" s="218">
        <f t="shared" si="11"/>
        <v>160</v>
      </c>
      <c r="P53" s="95">
        <f>S38</f>
        <v>0</v>
      </c>
      <c r="Q53" s="219">
        <v>0</v>
      </c>
      <c r="R53" s="75">
        <f t="shared" si="13"/>
        <v>6</v>
      </c>
      <c r="S53" s="220">
        <f>S39</f>
        <v>0</v>
      </c>
      <c r="T53" s="220" t="s">
        <v>100</v>
      </c>
      <c r="U53" s="220">
        <f>U52+IF(ISNUMBER(T53),T53*$E$36,0)-IF(ISNUMBER(S53),S53,0)</f>
        <v>0</v>
      </c>
      <c r="V53" s="96">
        <f>S40</f>
        <v>0</v>
      </c>
      <c r="W53" s="221">
        <v>0</v>
      </c>
      <c r="X53" s="79">
        <f>X52+IF(ISNUMBER(W53),W53*$F$36,0)-IF(ISNUMBER(V53),V53,0)+IF(S$34="Yes",12,0)</f>
        <v>0</v>
      </c>
      <c r="Y53" s="222">
        <f>S41</f>
        <v>0</v>
      </c>
      <c r="Z53" s="222" t="s">
        <v>100</v>
      </c>
      <c r="AA53" s="222">
        <f t="shared" si="12"/>
        <v>0</v>
      </c>
      <c r="AB53" s="136" t="s">
        <v>100</v>
      </c>
      <c r="AC53" s="223" t="s">
        <v>100</v>
      </c>
      <c r="AD53" s="224">
        <f t="shared" si="10"/>
        <v>0</v>
      </c>
      <c r="AE53" s="34"/>
    </row>
    <row r="54" spans="1:31" x14ac:dyDescent="0.25">
      <c r="A54" s="34"/>
      <c r="B54" s="34"/>
      <c r="C54" s="34"/>
      <c r="D54" s="34"/>
      <c r="E54" s="34"/>
      <c r="F54" s="34"/>
      <c r="G54" s="34"/>
      <c r="H54" s="34"/>
      <c r="I54" s="34"/>
      <c r="J54" s="34"/>
      <c r="K54" s="34"/>
      <c r="L54" s="92" t="str">
        <f>T4</f>
        <v>Maria Doria</v>
      </c>
      <c r="M54" s="208">
        <f>T37*2</f>
        <v>0</v>
      </c>
      <c r="N54" s="209">
        <v>2</v>
      </c>
      <c r="O54" s="209">
        <f t="shared" si="11"/>
        <v>240</v>
      </c>
      <c r="P54" s="118">
        <f>T38</f>
        <v>0</v>
      </c>
      <c r="Q54" s="210">
        <v>0</v>
      </c>
      <c r="R54" s="133">
        <f t="shared" si="13"/>
        <v>6</v>
      </c>
      <c r="S54" s="211">
        <f>T39</f>
        <v>0</v>
      </c>
      <c r="T54" s="211">
        <v>0</v>
      </c>
      <c r="U54" s="211">
        <f>U53+IF(ISNUMBER(T54),T54*$E$36,0)-IF(ISNUMBER(S54),S54,0)</f>
        <v>0</v>
      </c>
      <c r="V54" s="93">
        <f>T40</f>
        <v>0</v>
      </c>
      <c r="W54" s="144">
        <v>0</v>
      </c>
      <c r="X54" s="66">
        <f>X53+IF(ISNUMBER(W54),W54*$F$36,0)-IF(ISNUMBER(V54),V54,0)</f>
        <v>0</v>
      </c>
      <c r="Y54" s="212">
        <f>T41</f>
        <v>0</v>
      </c>
      <c r="Z54" s="212">
        <v>0</v>
      </c>
      <c r="AA54" s="212">
        <f>AA53+IF(ISNUMBER(Z54),Z54*$G$36,0)-IF(ISNUMBER(Y54),Y54,0)</f>
        <v>0</v>
      </c>
      <c r="AB54" s="84" t="str">
        <f>T42</f>
        <v>--</v>
      </c>
      <c r="AC54" s="213">
        <v>0</v>
      </c>
      <c r="AD54" s="214">
        <f>AD53+IF(ISNUMBER(AC54),AC54*$H$36,0)-IF(ISNUMBER(AB54),AB54,0)+IF(T$34="Yes",6,0)</f>
        <v>0</v>
      </c>
      <c r="AE54" s="34"/>
    </row>
    <row r="55" spans="1:31" x14ac:dyDescent="0.25">
      <c r="A55" s="34"/>
      <c r="B55" s="34"/>
      <c r="C55" s="34"/>
      <c r="D55" s="34"/>
      <c r="E55" s="34"/>
      <c r="F55" s="34"/>
      <c r="G55" s="34"/>
      <c r="H55" s="34"/>
      <c r="I55" s="34"/>
      <c r="J55" s="34"/>
      <c r="K55" s="34"/>
      <c r="L55" s="94" t="str">
        <f>U4</f>
        <v>Living</v>
      </c>
      <c r="M55" s="217">
        <f>U37*2</f>
        <v>0</v>
      </c>
      <c r="N55" s="218">
        <v>0</v>
      </c>
      <c r="O55" s="218">
        <f t="shared" si="11"/>
        <v>240</v>
      </c>
      <c r="P55" s="95">
        <f>U38</f>
        <v>0</v>
      </c>
      <c r="Q55" s="219">
        <v>0</v>
      </c>
      <c r="R55" s="75">
        <f t="shared" si="13"/>
        <v>6</v>
      </c>
      <c r="S55" s="220">
        <f>U39</f>
        <v>0</v>
      </c>
      <c r="T55" s="220">
        <v>0</v>
      </c>
      <c r="U55" s="220">
        <f>U54+IF(ISNUMBER(T55),T55*$E$36,0)-IF(ISNUMBER(S55),S55,0)</f>
        <v>0</v>
      </c>
      <c r="V55" s="96">
        <f>U40</f>
        <v>0</v>
      </c>
      <c r="W55" s="221">
        <v>0</v>
      </c>
      <c r="X55" s="79">
        <f t="shared" ref="X55:X63" si="14">X54+IF(ISNUMBER(W55),W55*$F$36,0)-IF(ISNUMBER(V55),V55,0)</f>
        <v>0</v>
      </c>
      <c r="Y55" s="222">
        <f>U41</f>
        <v>0</v>
      </c>
      <c r="Z55" s="222">
        <v>0</v>
      </c>
      <c r="AA55" s="222">
        <f>AA54+IF(ISNUMBER(Z55),Z55*$G$36,0)-IF(ISNUMBER(Y55),Y55,0)+IF(U$34="Yes",160,0)</f>
        <v>0</v>
      </c>
      <c r="AB55" s="136" t="str">
        <f>U42</f>
        <v>--</v>
      </c>
      <c r="AC55" s="253" t="s">
        <v>100</v>
      </c>
      <c r="AD55" s="224">
        <f t="shared" si="10"/>
        <v>0</v>
      </c>
      <c r="AE55" s="34"/>
    </row>
    <row r="56" spans="1:31" x14ac:dyDescent="0.25">
      <c r="A56" s="34"/>
      <c r="B56" s="34"/>
      <c r="C56" s="34"/>
      <c r="D56" s="34"/>
      <c r="E56" s="34"/>
      <c r="F56" s="34"/>
      <c r="G56" s="34"/>
      <c r="H56" s="34"/>
      <c r="I56" s="34"/>
      <c r="J56" s="34"/>
      <c r="K56" s="34"/>
      <c r="L56" s="92" t="str">
        <f>V4</f>
        <v>The Deck</v>
      </c>
      <c r="M56" s="208">
        <f>V37*2</f>
        <v>0</v>
      </c>
      <c r="N56" s="209">
        <v>0</v>
      </c>
      <c r="O56" s="209">
        <f t="shared" si="11"/>
        <v>240</v>
      </c>
      <c r="P56" s="118">
        <f>V38</f>
        <v>0</v>
      </c>
      <c r="Q56" s="210">
        <v>0</v>
      </c>
      <c r="R56" s="133">
        <f t="shared" si="13"/>
        <v>6</v>
      </c>
      <c r="S56" s="211">
        <f>V39</f>
        <v>0</v>
      </c>
      <c r="T56" s="211">
        <v>0</v>
      </c>
      <c r="U56" s="211">
        <f>U55+IF(ISNUMBER(T56),T56*$E$36,0)-IF(ISNUMBER(S56),S56,0)</f>
        <v>0</v>
      </c>
      <c r="V56" s="93">
        <f>V40</f>
        <v>0</v>
      </c>
      <c r="W56" s="144">
        <v>0</v>
      </c>
      <c r="X56" s="66">
        <f t="shared" si="14"/>
        <v>0</v>
      </c>
      <c r="Y56" s="212">
        <f>V41</f>
        <v>0</v>
      </c>
      <c r="Z56" s="212">
        <v>0</v>
      </c>
      <c r="AA56" s="212">
        <f t="shared" ref="AA56:AA57" si="15">AA55+IF(ISNUMBER(Z56),Z56*$G$36,0)-IF(ISNUMBER(Y56),Y56,0)</f>
        <v>0</v>
      </c>
      <c r="AB56" s="84">
        <f>V42</f>
        <v>0</v>
      </c>
      <c r="AC56" s="213">
        <v>2</v>
      </c>
      <c r="AD56" s="214">
        <f>AD55+IF(ISNUMBER(AC56),AC56*$H$36,0)-IF(ISNUMBER(AB56),AB56,0)+IF(V$34="Yes",8,0)</f>
        <v>4</v>
      </c>
      <c r="AE56" s="34"/>
    </row>
    <row r="57" spans="1:31" x14ac:dyDescent="0.25">
      <c r="A57" s="34"/>
      <c r="B57" s="34"/>
      <c r="C57" s="34"/>
      <c r="D57" s="34"/>
      <c r="E57" s="34"/>
      <c r="F57" s="34"/>
      <c r="G57" s="34"/>
      <c r="H57" s="34"/>
      <c r="I57" s="34"/>
      <c r="J57" s="34"/>
      <c r="K57" s="34"/>
      <c r="L57" s="94" t="str">
        <f>W4</f>
        <v>Foothills</v>
      </c>
      <c r="M57" s="217">
        <f>W37*2</f>
        <v>0</v>
      </c>
      <c r="N57" s="218">
        <v>0</v>
      </c>
      <c r="O57" s="218">
        <f t="shared" si="11"/>
        <v>240</v>
      </c>
      <c r="P57" s="95">
        <f>W38</f>
        <v>0</v>
      </c>
      <c r="Q57" s="219">
        <v>0</v>
      </c>
      <c r="R57" s="75">
        <f t="shared" si="13"/>
        <v>6</v>
      </c>
      <c r="S57" s="220">
        <f>W39</f>
        <v>0</v>
      </c>
      <c r="T57" s="220">
        <v>0</v>
      </c>
      <c r="U57" s="220">
        <f>U56+IF(ISNUMBER(T57),T57*$E$36,0)-IF(ISNUMBER(S57),S57,0)+IF(W$34="Yes",320,0)</f>
        <v>0</v>
      </c>
      <c r="V57" s="96">
        <f>W40</f>
        <v>0</v>
      </c>
      <c r="W57" s="221" t="s">
        <v>100</v>
      </c>
      <c r="X57" s="79">
        <f t="shared" si="14"/>
        <v>0</v>
      </c>
      <c r="Y57" s="222">
        <f>W41</f>
        <v>0</v>
      </c>
      <c r="Z57" s="222">
        <v>0</v>
      </c>
      <c r="AA57" s="222">
        <f t="shared" si="15"/>
        <v>0</v>
      </c>
      <c r="AB57" s="136">
        <f>W42</f>
        <v>0</v>
      </c>
      <c r="AC57" s="223">
        <v>2</v>
      </c>
      <c r="AD57" s="224">
        <f t="shared" si="10"/>
        <v>8</v>
      </c>
      <c r="AE57" s="34"/>
    </row>
    <row r="58" spans="1:31" x14ac:dyDescent="0.25">
      <c r="A58" s="34"/>
      <c r="B58" s="34"/>
      <c r="C58" s="34"/>
      <c r="D58" s="34"/>
      <c r="E58" s="34"/>
      <c r="F58" s="34"/>
      <c r="G58" s="34"/>
      <c r="H58" s="34"/>
      <c r="I58" s="34"/>
      <c r="J58" s="34"/>
      <c r="K58" s="34"/>
      <c r="L58" s="92" t="str">
        <f>X4</f>
        <v>Barkhang</v>
      </c>
      <c r="M58" s="208">
        <f>X37*2</f>
        <v>0</v>
      </c>
      <c r="N58" s="209">
        <v>0</v>
      </c>
      <c r="O58" s="209">
        <f t="shared" si="11"/>
        <v>240</v>
      </c>
      <c r="P58" s="118">
        <f>X38</f>
        <v>0</v>
      </c>
      <c r="Q58" s="210">
        <v>0</v>
      </c>
      <c r="R58" s="133">
        <f t="shared" si="13"/>
        <v>6</v>
      </c>
      <c r="S58" s="211">
        <f>X39</f>
        <v>0</v>
      </c>
      <c r="T58" s="211">
        <v>0</v>
      </c>
      <c r="U58" s="211">
        <f>U57+IF(ISNUMBER(T58),T58*$E$36,0)-IF(ISNUMBER(S58),S58,0)</f>
        <v>0</v>
      </c>
      <c r="V58" s="93">
        <f>X40</f>
        <v>0</v>
      </c>
      <c r="W58" s="144">
        <v>0</v>
      </c>
      <c r="X58" s="66">
        <f t="shared" si="14"/>
        <v>0</v>
      </c>
      <c r="Y58" s="212">
        <f>X41</f>
        <v>0</v>
      </c>
      <c r="Z58" s="212">
        <v>0</v>
      </c>
      <c r="AA58" s="212">
        <f>AA57+IF(ISNUMBER(Z58),Z58*$G$36,0)-IF(ISNUMBER(Y58),Y58,0)+IF(X$34="Yes",160,0)</f>
        <v>0</v>
      </c>
      <c r="AB58" s="84">
        <f>X42</f>
        <v>0</v>
      </c>
      <c r="AC58" s="213">
        <v>0</v>
      </c>
      <c r="AD58" s="214">
        <f t="shared" si="10"/>
        <v>8</v>
      </c>
      <c r="AE58" s="34"/>
    </row>
    <row r="59" spans="1:31" x14ac:dyDescent="0.25">
      <c r="A59" s="34"/>
      <c r="B59" s="34"/>
      <c r="C59" s="34"/>
      <c r="D59" s="34"/>
      <c r="E59" s="34"/>
      <c r="F59" s="34"/>
      <c r="G59" s="34"/>
      <c r="H59" s="34"/>
      <c r="I59" s="34"/>
      <c r="J59" s="34"/>
      <c r="K59" s="34"/>
      <c r="L59" s="94" t="str">
        <f>Y4</f>
        <v>Catacombs</v>
      </c>
      <c r="M59" s="217">
        <f>Y37*2</f>
        <v>0</v>
      </c>
      <c r="N59" s="218">
        <v>0</v>
      </c>
      <c r="O59" s="218">
        <f t="shared" si="11"/>
        <v>240</v>
      </c>
      <c r="P59" s="95">
        <f>Y38</f>
        <v>0</v>
      </c>
      <c r="Q59" s="219">
        <v>0</v>
      </c>
      <c r="R59" s="75">
        <f t="shared" si="13"/>
        <v>6</v>
      </c>
      <c r="S59" s="220">
        <f>Y39</f>
        <v>0</v>
      </c>
      <c r="T59" s="220">
        <v>0</v>
      </c>
      <c r="U59" s="220">
        <f>U58+IF(ISNUMBER(T59),T59*$E$36,0)-IF(ISNUMBER(S59),S59,0)</f>
        <v>0</v>
      </c>
      <c r="V59" s="96">
        <f>Y40</f>
        <v>0</v>
      </c>
      <c r="W59" s="221" t="s">
        <v>100</v>
      </c>
      <c r="X59" s="79">
        <f t="shared" si="14"/>
        <v>0</v>
      </c>
      <c r="Y59" s="222">
        <f>Y41</f>
        <v>0</v>
      </c>
      <c r="Z59" s="222">
        <v>0</v>
      </c>
      <c r="AA59" s="222">
        <f>AA58+IF(ISNUMBER(Z59),Z59*$G$36,0)-IF(ISNUMBER(Y59),Y59,0)+IF(Y$34="Yes",80,0)</f>
        <v>0</v>
      </c>
      <c r="AB59" s="136">
        <f>Y42</f>
        <v>0</v>
      </c>
      <c r="AC59" s="223">
        <v>1</v>
      </c>
      <c r="AD59" s="224">
        <f>AD58+IF(ISNUMBER(AC59),AC59*$H$36,0)-IF(ISNUMBER(AB59),AB59,0)+IF(Y$34="Yes",4,0)</f>
        <v>10</v>
      </c>
      <c r="AE59" s="34"/>
    </row>
    <row r="60" spans="1:31" x14ac:dyDescent="0.25">
      <c r="A60" s="34"/>
      <c r="B60" s="34"/>
      <c r="C60" s="34"/>
      <c r="D60" s="34"/>
      <c r="E60" s="34"/>
      <c r="F60" s="34"/>
      <c r="G60" s="34"/>
      <c r="H60" s="34"/>
      <c r="I60" s="34"/>
      <c r="J60" s="34"/>
      <c r="K60" s="34"/>
      <c r="L60" s="92" t="str">
        <f>Z4</f>
        <v>Ice Palace</v>
      </c>
      <c r="M60" s="208">
        <f>Z37*2</f>
        <v>0</v>
      </c>
      <c r="N60" s="209">
        <v>0</v>
      </c>
      <c r="O60" s="209">
        <f t="shared" si="11"/>
        <v>240</v>
      </c>
      <c r="P60" s="118">
        <f>Z38</f>
        <v>0</v>
      </c>
      <c r="Q60" s="210">
        <v>0</v>
      </c>
      <c r="R60" s="133">
        <f t="shared" si="13"/>
        <v>6</v>
      </c>
      <c r="S60" s="211">
        <f>Z39</f>
        <v>0</v>
      </c>
      <c r="T60" s="211">
        <v>0</v>
      </c>
      <c r="U60" s="211">
        <f>U59+IF(ISNUMBER(T60),T60*$E$36,0)-IF(ISNUMBER(S60),S60,0)</f>
        <v>0</v>
      </c>
      <c r="V60" s="93">
        <f>Z40</f>
        <v>0</v>
      </c>
      <c r="W60" s="144" t="s">
        <v>100</v>
      </c>
      <c r="X60" s="66">
        <f t="shared" si="14"/>
        <v>0</v>
      </c>
      <c r="Y60" s="212">
        <f>Z41</f>
        <v>0</v>
      </c>
      <c r="Z60" s="212" t="s">
        <v>100</v>
      </c>
      <c r="AA60" s="212">
        <f t="shared" ref="AA60:AA63" si="16">AA59+IF(ISNUMBER(Z60),Z60*$G$36,0)-IF(ISNUMBER(Y60),Y60,0)</f>
        <v>0</v>
      </c>
      <c r="AB60" s="84">
        <f>Z42</f>
        <v>0</v>
      </c>
      <c r="AC60" s="213">
        <v>0</v>
      </c>
      <c r="AD60" s="214">
        <f>AD59+IF(ISNUMBER(AC60),AC60*$H$36,0)-IF(ISNUMBER(AB60),AB60,0)+IF(Z$34="Yes",8,0)</f>
        <v>10</v>
      </c>
      <c r="AE60" s="34"/>
    </row>
    <row r="61" spans="1:31" x14ac:dyDescent="0.25">
      <c r="A61" s="34"/>
      <c r="B61" s="34"/>
      <c r="C61" s="34"/>
      <c r="D61" s="34"/>
      <c r="E61" s="34"/>
      <c r="F61" s="34"/>
      <c r="G61" s="34"/>
      <c r="H61" s="34"/>
      <c r="I61" s="34"/>
      <c r="J61" s="34"/>
      <c r="K61" s="34"/>
      <c r="L61" s="94" t="str">
        <f>AA4</f>
        <v>Xian</v>
      </c>
      <c r="M61" s="217">
        <f>AA37*2</f>
        <v>0</v>
      </c>
      <c r="N61" s="218">
        <v>0</v>
      </c>
      <c r="O61" s="218">
        <f t="shared" si="11"/>
        <v>240</v>
      </c>
      <c r="P61" s="95">
        <f>AA38</f>
        <v>0</v>
      </c>
      <c r="Q61" s="219">
        <v>0</v>
      </c>
      <c r="R61" s="75">
        <f t="shared" si="13"/>
        <v>6</v>
      </c>
      <c r="S61" s="220">
        <f>AA39</f>
        <v>0</v>
      </c>
      <c r="T61" s="220">
        <v>0</v>
      </c>
      <c r="U61" s="220">
        <f>U60+IF(ISNUMBER(T61),T61*$E$36,0)-IF(ISNUMBER(S61),S61,0)+IF(AA$34="Yes",640,0)</f>
        <v>0</v>
      </c>
      <c r="V61" s="96">
        <f>AA40</f>
        <v>0</v>
      </c>
      <c r="W61" s="221" t="s">
        <v>100</v>
      </c>
      <c r="X61" s="79">
        <f t="shared" si="14"/>
        <v>0</v>
      </c>
      <c r="Y61" s="222">
        <f>AA41</f>
        <v>0</v>
      </c>
      <c r="Z61" s="222">
        <v>0</v>
      </c>
      <c r="AA61" s="222">
        <f t="shared" si="16"/>
        <v>0</v>
      </c>
      <c r="AB61" s="136">
        <f>AA42</f>
        <v>0</v>
      </c>
      <c r="AC61" s="223">
        <v>0</v>
      </c>
      <c r="AD61" s="224">
        <f t="shared" si="10"/>
        <v>10</v>
      </c>
      <c r="AE61" s="34"/>
    </row>
    <row r="62" spans="1:31" x14ac:dyDescent="0.25">
      <c r="A62" s="34"/>
      <c r="B62" s="34"/>
      <c r="C62" s="34"/>
      <c r="D62" s="34"/>
      <c r="E62" s="34"/>
      <c r="F62" s="34"/>
      <c r="G62" s="34"/>
      <c r="H62" s="34"/>
      <c r="I62" s="34"/>
      <c r="J62" s="34"/>
      <c r="K62" s="34"/>
      <c r="L62" s="92" t="str">
        <f>AB4</f>
        <v>Floating</v>
      </c>
      <c r="M62" s="208">
        <f>AB37*2</f>
        <v>0</v>
      </c>
      <c r="N62" s="209">
        <v>0</v>
      </c>
      <c r="O62" s="209">
        <f t="shared" si="11"/>
        <v>240</v>
      </c>
      <c r="P62" s="118">
        <f>AB38</f>
        <v>0</v>
      </c>
      <c r="Q62" s="210">
        <v>0</v>
      </c>
      <c r="R62" s="133">
        <f t="shared" si="13"/>
        <v>6</v>
      </c>
      <c r="S62" s="211">
        <f>AB39</f>
        <v>0</v>
      </c>
      <c r="T62" s="211">
        <v>0</v>
      </c>
      <c r="U62" s="211">
        <f>U61+IF(ISNUMBER(T62),T62*$E$36,0)-IF(ISNUMBER(S62),S62,0)</f>
        <v>0</v>
      </c>
      <c r="V62" s="93">
        <f>AB40</f>
        <v>0</v>
      </c>
      <c r="W62" s="144" t="s">
        <v>100</v>
      </c>
      <c r="X62" s="66">
        <f t="shared" si="14"/>
        <v>0</v>
      </c>
      <c r="Y62" s="212">
        <f>AB41</f>
        <v>0</v>
      </c>
      <c r="Z62" s="212">
        <v>0</v>
      </c>
      <c r="AA62" s="212">
        <f t="shared" si="16"/>
        <v>0</v>
      </c>
      <c r="AB62" s="84">
        <f>AB42</f>
        <v>0</v>
      </c>
      <c r="AC62" s="213">
        <v>0</v>
      </c>
      <c r="AD62" s="214">
        <f>AD61+IF(ISNUMBER(AC62),AC62*$H$36,0)-IF(ISNUMBER(AB62),AB62,0)+IF(AB$34="Yes",16,0)</f>
        <v>10</v>
      </c>
      <c r="AE62" s="34"/>
    </row>
    <row r="63" spans="1:31" x14ac:dyDescent="0.25">
      <c r="A63" s="34"/>
      <c r="B63" s="34"/>
      <c r="C63" s="34"/>
      <c r="D63" s="34"/>
      <c r="E63" s="34"/>
      <c r="F63" s="34"/>
      <c r="G63" s="34"/>
      <c r="H63" s="34"/>
      <c r="I63" s="34"/>
      <c r="J63" s="34"/>
      <c r="K63" s="34"/>
      <c r="L63" s="94" t="str">
        <f>AC4</f>
        <v>Dragon</v>
      </c>
      <c r="M63" s="217">
        <f>AC37*2</f>
        <v>0</v>
      </c>
      <c r="N63" s="218" t="s">
        <v>100</v>
      </c>
      <c r="O63" s="218">
        <f t="shared" si="11"/>
        <v>240</v>
      </c>
      <c r="P63" s="95">
        <f>AC38</f>
        <v>0</v>
      </c>
      <c r="Q63" s="219" t="s">
        <v>100</v>
      </c>
      <c r="R63" s="75">
        <f t="shared" si="13"/>
        <v>6</v>
      </c>
      <c r="S63" s="220">
        <f>AC39</f>
        <v>0</v>
      </c>
      <c r="T63" s="220">
        <v>0</v>
      </c>
      <c r="U63" s="220">
        <f>U62+IF(ISNUMBER(T63),T63*$E$36,0)-IF(ISNUMBER(S63),S63,0)</f>
        <v>0</v>
      </c>
      <c r="V63" s="96">
        <f>AC40</f>
        <v>0</v>
      </c>
      <c r="W63" s="221" t="s">
        <v>100</v>
      </c>
      <c r="X63" s="79">
        <f t="shared" si="14"/>
        <v>0</v>
      </c>
      <c r="Y63" s="222">
        <f>AC41</f>
        <v>0</v>
      </c>
      <c r="Z63" s="222" t="s">
        <v>100</v>
      </c>
      <c r="AA63" s="222">
        <f t="shared" si="16"/>
        <v>0</v>
      </c>
      <c r="AB63" s="136">
        <f>AC42</f>
        <v>10</v>
      </c>
      <c r="AC63" s="223" t="s">
        <v>100</v>
      </c>
      <c r="AD63" s="224">
        <f t="shared" si="10"/>
        <v>0</v>
      </c>
      <c r="AE63" s="34"/>
    </row>
    <row r="64" spans="1:31" x14ac:dyDescent="0.25">
      <c r="A64" s="34"/>
      <c r="B64" s="34"/>
      <c r="C64" s="34"/>
      <c r="D64" s="34"/>
      <c r="E64" s="34"/>
      <c r="F64" s="34"/>
      <c r="G64" s="34"/>
      <c r="H64" s="34"/>
      <c r="I64" s="34"/>
      <c r="J64" s="34"/>
      <c r="K64" s="34"/>
      <c r="L64" s="97" t="str">
        <f>AD4</f>
        <v>Epilogue</v>
      </c>
      <c r="M64" s="225" t="str">
        <f>AD37</f>
        <v>--</v>
      </c>
      <c r="N64" s="226" t="s">
        <v>100</v>
      </c>
      <c r="O64" s="227" t="s">
        <v>100</v>
      </c>
      <c r="P64" s="228">
        <v>35</v>
      </c>
      <c r="Q64" s="228">
        <v>27</v>
      </c>
      <c r="R64" s="228">
        <f>Q64*$D$36-P64</f>
        <v>19</v>
      </c>
      <c r="S64" s="229" t="str">
        <f>AD39</f>
        <v>--</v>
      </c>
      <c r="T64" s="230" t="s">
        <v>100</v>
      </c>
      <c r="U64" s="230" t="s">
        <v>100</v>
      </c>
      <c r="V64" s="231" t="str">
        <f>AD40</f>
        <v>--</v>
      </c>
      <c r="W64" s="232" t="s">
        <v>100</v>
      </c>
      <c r="X64" s="233" t="s">
        <v>100</v>
      </c>
      <c r="Y64" s="234" t="str">
        <f>AD41</f>
        <v>--</v>
      </c>
      <c r="Z64" s="234" t="s">
        <v>100</v>
      </c>
      <c r="AA64" s="234" t="s">
        <v>100</v>
      </c>
      <c r="AB64" s="235" t="str">
        <f>AD42</f>
        <v>--</v>
      </c>
      <c r="AC64" s="236" t="s">
        <v>100</v>
      </c>
      <c r="AD64" s="237" t="s">
        <v>100</v>
      </c>
      <c r="AE64" s="34"/>
    </row>
    <row r="65" spans="1:31" x14ac:dyDescent="0.25">
      <c r="A65" s="34"/>
      <c r="B65" s="34"/>
      <c r="C65" s="34"/>
      <c r="D65" s="34"/>
      <c r="E65" s="34"/>
      <c r="F65" s="34"/>
      <c r="G65" s="34"/>
      <c r="H65" s="34"/>
      <c r="I65" s="34"/>
      <c r="J65" s="34"/>
      <c r="K65" s="34"/>
      <c r="L65" s="157" t="s">
        <v>136</v>
      </c>
      <c r="M65" s="206">
        <f>SUM(M51:M63)</f>
        <v>0</v>
      </c>
      <c r="N65" s="206">
        <f>SUM(N51:N63)*$C$36</f>
        <v>240</v>
      </c>
      <c r="O65" s="206" t="s">
        <v>100</v>
      </c>
      <c r="P65" s="206">
        <f>SUM(P51:P63)</f>
        <v>0</v>
      </c>
      <c r="Q65" s="206">
        <f>SUM(Q51:Q63)*$D$36</f>
        <v>0</v>
      </c>
      <c r="R65" s="206" t="s">
        <v>100</v>
      </c>
      <c r="S65" s="206">
        <f>SUM(S51:S63)</f>
        <v>0</v>
      </c>
      <c r="T65" s="206">
        <f>SUM(T51:T63)*$E$36</f>
        <v>0</v>
      </c>
      <c r="U65" s="206" t="s">
        <v>100</v>
      </c>
      <c r="V65" s="206">
        <f>SUM(V51:V63)</f>
        <v>0</v>
      </c>
      <c r="W65" s="206">
        <f>SUM(W51:W63)*$F$36</f>
        <v>0</v>
      </c>
      <c r="X65" s="206" t="s">
        <v>100</v>
      </c>
      <c r="Y65" s="206">
        <f>SUM(Y51:Y63)</f>
        <v>0</v>
      </c>
      <c r="Z65" s="206">
        <f>SUM(Z51:Z63)*$G$36</f>
        <v>0</v>
      </c>
      <c r="AA65" s="206" t="s">
        <v>100</v>
      </c>
      <c r="AB65" s="206">
        <f>SUM(AB51:AB63)</f>
        <v>10</v>
      </c>
      <c r="AC65" s="206">
        <f>SUM(AC51:AC63)*$H$36</f>
        <v>10</v>
      </c>
      <c r="AD65" s="207" t="s">
        <v>100</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sheetData>
  <mergeCells count="22">
    <mergeCell ref="B42:H48"/>
    <mergeCell ref="C2:K2"/>
    <mergeCell ref="B2:B4"/>
    <mergeCell ref="B41:H41"/>
    <mergeCell ref="M2:AD3"/>
    <mergeCell ref="L2:L4"/>
    <mergeCell ref="M35:AD35"/>
    <mergeCell ref="C3:D3"/>
    <mergeCell ref="E3:F3"/>
    <mergeCell ref="B40:H40"/>
    <mergeCell ref="B35:B36"/>
    <mergeCell ref="B37:H37"/>
    <mergeCell ref="B38:H38"/>
    <mergeCell ref="B39:H39"/>
    <mergeCell ref="V45:X45"/>
    <mergeCell ref="AB45:AD45"/>
    <mergeCell ref="Y45:AA45"/>
    <mergeCell ref="M45:O45"/>
    <mergeCell ref="L44:L46"/>
    <mergeCell ref="P45:R45"/>
    <mergeCell ref="M44:AD44"/>
    <mergeCell ref="S45:U45"/>
  </mergeCells>
  <conditionalFormatting sqref="O47:O63 R47:R49 AD47:AD49 U48:U63 AA48:AA49 X51:X63 R64">
    <cfRule type="cellIs" dxfId="39" priority="7" operator="lessThan">
      <formula>0</formula>
    </cfRule>
  </conditionalFormatting>
  <conditionalFormatting sqref="M5:AD33">
    <cfRule type="containsBlanks" dxfId="38" priority="10">
      <formula>LEN(TRIM(M5))=0</formula>
    </cfRule>
  </conditionalFormatting>
  <conditionalFormatting sqref="R50:R63">
    <cfRule type="cellIs" dxfId="37" priority="3" operator="lessThan">
      <formula>0</formula>
    </cfRule>
  </conditionalFormatting>
  <conditionalFormatting sqref="AD50:AD63">
    <cfRule type="cellIs" dxfId="36" priority="2" operator="lessThan">
      <formula>0</formula>
    </cfRule>
  </conditionalFormatting>
  <conditionalFormatting sqref="AA50:AA63">
    <cfRule type="cellIs" dxfId="35" priority="1" operator="lessThan">
      <formula>0</formula>
    </cfRule>
  </conditionalFormatting>
  <dataValidations count="42">
    <dataValidation type="list" allowBlank="1" showErrorMessage="1" sqref="X24" xr:uid="{00000000-0002-0000-0300-000000000000}">
      <formula1>"0,1,2,3,4,5,6,7,8,9,10,11,12,13,14,15,16,17,18,19,20,21,22"</formula1>
    </dataValidation>
    <dataValidation type="decimal" operator="equal" allowBlank="1" showDropDown="1" showInputMessage="1" showErrorMessage="1" prompt="Big Fookin Chx kill is required." sqref="Z27" xr:uid="{00000000-0002-0000-0300-000001000000}">
      <formula1>1</formula1>
    </dataValidation>
    <dataValidation type="list" allowBlank="1" showErrorMessage="1" sqref="Z5 X6 P9 O11 AA25 AB32 W54 T59:T60" xr:uid="{00000000-0002-0000-0300-000002000000}">
      <formula1>"0,1,2,3,4,5,6"</formula1>
    </dataValidation>
    <dataValidation type="decimal" operator="equal" allowBlank="1" showDropDown="1" showInputMessage="1" showErrorMessage="1" prompt="3 extra come from collecting all secrets." sqref="AC47 AC54" xr:uid="{00000000-0002-0000-0300-000003000000}">
      <formula1>0</formula1>
    </dataValidation>
    <dataValidation type="list" allowBlank="1" showInputMessage="1" showErrorMessage="1" prompt="One kill is required to collect item to open the door." sqref="AC32" xr:uid="{00000000-0002-0000-0300-000004000000}">
      <formula1>"1,2,3,4,5,6"</formula1>
    </dataValidation>
    <dataValidation type="list" allowBlank="1" showErrorMessage="1" sqref="M7 X20 Z26" xr:uid="{00000000-0002-0000-0300-000005000000}">
      <formula1>"0,1,2,3,4,5,6,7,8,9,10,11,12,13"</formula1>
    </dataValidation>
    <dataValidation type="list" allowBlank="1" showInputMessage="1" showErrorMessage="1" prompt="2 extra come from collecting all secrets." sqref="AC59" xr:uid="{00000000-0002-0000-0300-000006000000}">
      <formula1>"0,1,2,3,4,5,6"</formula1>
    </dataValidation>
    <dataValidation type="list" allowBlank="1" showInputMessage="1" showErrorMessage="1" prompt="8 extra come from collecting all secrets." sqref="AC62" xr:uid="{00000000-0002-0000-0300-000007000000}">
      <formula1>"0,1,2"</formula1>
    </dataValidation>
    <dataValidation type="list" allowBlank="1" showInputMessage="1" showErrorMessage="1" prompt="4 extra come from collecting all secrets." sqref="Z58" xr:uid="{00000000-0002-0000-0300-000008000000}">
      <formula1>"0,1,2"</formula1>
    </dataValidation>
    <dataValidation type="list" allowBlank="1" showErrorMessage="1" sqref="Q10 P13 S17 U17 N47 Q47 T55 W55 Q57" xr:uid="{00000000-0002-0000-0300-000009000000}">
      <formula1>"0,1"</formula1>
    </dataValidation>
    <dataValidation type="list" allowBlank="1" showInputMessage="1" showErrorMessage="1" prompt="One shark is inaccessible but still killable. As of now, no ruling has been decided on whether or not this kill is required for 100%/Max%." sqref="T18" xr:uid="{00000000-0002-0000-0300-00000A000000}">
      <formula1>"0,1,2,3"</formula1>
    </dataValidation>
    <dataValidation type="list" allowBlank="1" showErrorMessage="1" sqref="W21" xr:uid="{00000000-0002-0000-0300-00000B000000}">
      <formula1>"0,1,2,3,4,5,6,7,8,9,10,11,12,13,14,15"</formula1>
    </dataValidation>
    <dataValidation type="list" allowBlank="1" showErrorMessage="1" sqref="Y23 T63" xr:uid="{00000000-0002-0000-0300-00000C000000}">
      <formula1>"0,1,2,3,4,5,6,7,8,9,10,11,12,13,14,15,16,17,18"</formula1>
    </dataValidation>
    <dataValidation type="list" allowBlank="1" showInputMessage="1" showErrorMessage="1" prompt="4 extra come from collecting all secrets." sqref="Q49 W53" xr:uid="{00000000-0002-0000-0300-00000D000000}">
      <formula1>"0,1,2,3"</formula1>
    </dataValidation>
    <dataValidation type="decimal" operator="equal" allowBlank="1" showDropDown="1" showInputMessage="1" showErrorMessage="1" prompt="All HSH enemies must be killed." sqref="AD10:AD11" xr:uid="{00000000-0002-0000-0300-00000E000000}">
      <formula1>4</formula1>
    </dataValidation>
    <dataValidation type="list" allowBlank="1" showErrorMessage="1" sqref="O9 P10 O12 AB31" xr:uid="{00000000-0002-0000-0300-00000F000000}">
      <formula1>"0,1,2,3,4,5,6,7,8,9,10,11,12"</formula1>
    </dataValidation>
    <dataValidation type="list" allowBlank="1" showErrorMessage="1" sqref="N11 Q14 R17 V19 W22 W28 AC31 T49 Q51 N50:N52 W51:W52 Z52 N54 Z54 N56 Z56 AC57 N58 N61 Q61" xr:uid="{00000000-0002-0000-0300-000010000000}">
      <formula1>"0,1,2,3,4"</formula1>
    </dataValidation>
    <dataValidation type="list" allowBlank="1" showErrorMessage="1" sqref="M8 S11 Q17 U19 Z25 T48 Z48 AC49 AC52 Q53:Q54 T54 N55 Q56 W56 W58 AC58 N60 Q58:Q60 AC61 Z61:Z62" xr:uid="{00000000-0002-0000-0300-000011000000}">
      <formula1>"0,1,2"</formula1>
    </dataValidation>
    <dataValidation type="decimal" operator="equal" allowBlank="1" showDropDown="1" showInputMessage="1" showErrorMessage="1" prompt="All HSH enemies must be killed." sqref="AD13" xr:uid="{00000000-0002-0000-0300-000012000000}">
      <formula1>1</formula1>
    </dataValidation>
    <dataValidation type="list" allowBlank="1" showErrorMessage="1" sqref="M5 N9:N10 R14 V14 Y26 AA29 Q50 N57 T58 N59 Q62" xr:uid="{00000000-0002-0000-0300-000013000000}">
      <formula1>"0,1,2,3,4,5"</formula1>
    </dataValidation>
    <dataValidation type="list" allowBlank="1" showErrorMessage="1" sqref="M6 S14 R16 T17 S18 V17:V18 Y20 Y25 Q48 N49 AC50 Q52 Q55 T56 Z57 N62 Q15" xr:uid="{00000000-0002-0000-0300-000014000000}">
      <formula1>"0,1,2,3"</formula1>
    </dataValidation>
    <dataValidation type="list" allowBlank="1" showErrorMessage="1" sqref="AA7 P11 X21" xr:uid="{00000000-0002-0000-0300-000015000000}">
      <formula1>"0,1,2,3,4,5,6,7,8,9,10,11"</formula1>
    </dataValidation>
    <dataValidation type="list" allowBlank="1" showErrorMessage="1" sqref="O10 R10 T14:T15 S19:T19 AA28 T62" xr:uid="{00000000-0002-0000-0300-000016000000}">
      <formula1>"0,1,2,3,4,5,6,7"</formula1>
    </dataValidation>
    <dataValidation type="list" allowBlank="1" showErrorMessage="1" sqref="V11 N12 W23" xr:uid="{00000000-0002-0000-0300-000017000000}">
      <formula1>"0,1,2,3,4,5,6,7,8,9,10"</formula1>
    </dataValidation>
    <dataValidation type="list" allowBlank="1" showInputMessage="1" showErrorMessage="1" prompt="4 extra come from collecting secrets." sqref="T50 T52" xr:uid="{00000000-0002-0000-0300-000018000000}">
      <formula1>"0,1,2,3,4"</formula1>
    </dataValidation>
    <dataValidation type="decimal" operator="equal" allowBlank="1" showDropDown="1" showInputMessage="1" showErrorMessage="1" prompt="4 extra come from collecting all secrets." sqref="Z55" xr:uid="{00000000-0002-0000-0300-000019000000}">
      <formula1>0</formula1>
    </dataValidation>
    <dataValidation type="list" allowBlank="1" showErrorMessage="1" sqref="P12" xr:uid="{00000000-0002-0000-0300-00001A000000}">
      <formula1>"0,1,2,3,4,5,6,7,8,9,10,11,12,13,14,15,16"</formula1>
    </dataValidation>
    <dataValidation type="list" allowBlank="1" showInputMessage="1" showErrorMessage="1" prompt="4 extra come from collecting all secrets." sqref="N48" xr:uid="{00000000-0002-0000-0300-00001B000000}">
      <formula1>"0,1,2,3,4,5"</formula1>
    </dataValidation>
    <dataValidation type="list" allowBlank="1" showErrorMessage="1" sqref="AA5 AB30" xr:uid="{00000000-0002-0000-0300-00001C000000}">
      <formula1>"0,1,2,3,4,5,6,7,8"</formula1>
    </dataValidation>
    <dataValidation type="list" allowBlank="1" sqref="Y21" xr:uid="{00000000-0002-0000-0300-00001D000000}">
      <formula1>"0,1,2,3,4"</formula1>
    </dataValidation>
    <dataValidation type="list" allowBlank="1" showInputMessage="1" showErrorMessage="1" prompt="2 extra come from collecting all secrets." sqref="Z59" xr:uid="{00000000-0002-0000-0300-00001E000000}">
      <formula1>"0,1,2,3"</formula1>
    </dataValidation>
    <dataValidation type="decimal" operator="equal" allowBlank="1" showDropDown="1" showInputMessage="1" showErrorMessage="1" prompt="All HSH enemies must be killed." sqref="AD12" xr:uid="{00000000-0002-0000-0300-00001F000000}">
      <formula1>7</formula1>
    </dataValidation>
    <dataValidation type="list" allowBlank="1" showInputMessage="1" showErrorMessage="1" prompt="4 extra come from collecting all secrets." sqref="AC56 AC60" xr:uid="{00000000-0002-0000-0300-000020000000}">
      <formula1>"0,1,2,3,4"</formula1>
    </dataValidation>
    <dataValidation type="list" allowBlank="1" sqref="V16" xr:uid="{00000000-0002-0000-0300-000021000000}">
      <formula1>"0,1,2,3,4,5"</formula1>
    </dataValidation>
    <dataValidation type="list" allowBlank="1" showErrorMessage="1" sqref="R15" xr:uid="{00000000-0002-0000-0300-000022000000}">
      <formula1>"0,1,2,3,4,5,6,"</formula1>
    </dataValidation>
    <dataValidation type="list" allowBlank="1" showInputMessage="1" showErrorMessage="1" prompt="8 extra come from collecting all secrets." sqref="T61" xr:uid="{00000000-0002-0000-0300-000023000000}">
      <formula1>"0,1,2,3,4"</formula1>
    </dataValidation>
    <dataValidation type="list" allowBlank="1" showInputMessage="1" showErrorMessage="1" prompt="One is required to obtain a necessary key." sqref="Q11" xr:uid="{00000000-0002-0000-0300-000024000000}">
      <formula1>"0,1,2,3,4,5,6,7,8,9,10"</formula1>
    </dataValidation>
    <dataValidation type="list" allowBlank="1" showInputMessage="1" showErrorMessage="1" prompt="4 extra come from collecting secrets." sqref="T57" xr:uid="{00000000-0002-0000-0300-000026000000}">
      <formula1>"0,1,2,3"</formula1>
    </dataValidation>
    <dataValidation type="list" allowBlank="1" showErrorMessage="1" sqref="R11 T11:U11 U14" xr:uid="{00000000-0002-0000-0300-000027000000}">
      <formula1>"0,1,2,3,4,5,6,7,8,9"</formula1>
    </dataValidation>
    <dataValidation type="decimal" operator="equal" allowBlank="1" showDropDown="1" showInputMessage="1" showErrorMessage="1" prompt="Dragon kill is required." sqref="AC33" xr:uid="{00000000-0002-0000-0300-000028000000}">
      <formula1>1</formula1>
    </dataValidation>
    <dataValidation type="list" allowBlank="1" showInputMessage="1" showErrorMessage="1" prompt="3 extra come from collecting all secrets." sqref="T51" xr:uid="{00000000-0002-0000-0300-000029000000}">
      <formula1>"0,1"</formula1>
    </dataValidation>
    <dataValidation type="list" allowBlank="1" showInputMessage="1" showErrorMessage="1" sqref="J36 J39 M34:AB34 J42" xr:uid="{00000000-0002-0000-0300-00002A000000}">
      <formula1>"Yes,No"</formula1>
    </dataValidation>
  </dataValidations>
  <pageMargins left="0.7" right="0.7" top="0.75" bottom="0.75" header="0.3" footer="0.3"/>
  <pageSetup scale="46" orientation="portrait" r:id="rId1"/>
  <ignoredErrors>
    <ignoredError sqref="C13 C25 R49" formula="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05">
    <outlinePr summaryBelow="0" summaryRight="0"/>
  </sheetPr>
  <dimension ref="A1:AE66"/>
  <sheetViews>
    <sheetView showGridLines="0" zoomScale="85" zoomScaleNormal="85" workbookViewId="0"/>
  </sheetViews>
  <sheetFormatPr defaultColWidth="0" defaultRowHeight="15.75" customHeight="1" zeroHeight="1" x14ac:dyDescent="0.25"/>
  <cols>
    <col min="1" max="1" width="2" style="2" customWidth="1"/>
    <col min="2" max="2" width="18" style="2" customWidth="1"/>
    <col min="3" max="4" width="9.42578125" style="2" customWidth="1"/>
    <col min="5" max="5" width="9.7109375" style="2" customWidth="1"/>
    <col min="6" max="6" width="10.140625" style="2" customWidth="1"/>
    <col min="7" max="7" width="10.5703125" style="2" customWidth="1"/>
    <col min="8" max="8" width="10.7109375" style="2" customWidth="1"/>
    <col min="9" max="9" width="14.28515625" style="2" bestFit="1" customWidth="1"/>
    <col min="10" max="10" width="9.5703125" style="2" customWidth="1"/>
    <col min="11" max="11" width="18.140625" style="2" customWidth="1"/>
    <col min="12" max="12" width="17.85546875" style="2" customWidth="1"/>
    <col min="13" max="13" width="10.7109375" style="2" customWidth="1"/>
    <col min="14" max="14" width="7.42578125" style="2" customWidth="1"/>
    <col min="15" max="15" width="10.85546875" style="2" customWidth="1"/>
    <col min="16" max="16" width="8.7109375" style="2" customWidth="1"/>
    <col min="17" max="17" width="9" style="2" customWidth="1"/>
    <col min="18" max="18" width="10.85546875" style="2" customWidth="1"/>
    <col min="19" max="19" width="9.140625" style="2" customWidth="1"/>
    <col min="20" max="20" width="11.7109375" style="2" customWidth="1"/>
    <col min="21" max="21" width="10.85546875" style="2" customWidth="1"/>
    <col min="22" max="22" width="10" style="2" customWidth="1"/>
    <col min="23" max="23" width="8.7109375" style="2" customWidth="1"/>
    <col min="24" max="24" width="10.85546875" style="2" customWidth="1"/>
    <col min="25" max="25" width="11.42578125" style="2" customWidth="1"/>
    <col min="26" max="26" width="10.7109375" style="2" customWidth="1"/>
    <col min="27" max="27" width="10.85546875" style="2" customWidth="1"/>
    <col min="28" max="28" width="9.28515625" style="2" customWidth="1"/>
    <col min="29" max="29" width="7.85546875" style="2" customWidth="1"/>
    <col min="30" max="30" width="10.85546875" style="2" customWidth="1"/>
    <col min="31" max="31" width="2" style="2" customWidth="1"/>
    <col min="32" max="16384" width="14.42578125" style="2"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5" t="s">
        <v>2</v>
      </c>
      <c r="C2" s="354" t="s">
        <v>5</v>
      </c>
      <c r="D2" s="316"/>
      <c r="E2" s="316"/>
      <c r="F2" s="316"/>
      <c r="G2" s="316"/>
      <c r="H2" s="316"/>
      <c r="I2" s="316"/>
      <c r="J2" s="316"/>
      <c r="K2" s="316"/>
      <c r="L2" s="355" t="s">
        <v>2</v>
      </c>
      <c r="M2" s="338" t="s">
        <v>7</v>
      </c>
      <c r="N2" s="316"/>
      <c r="O2" s="316"/>
      <c r="P2" s="316"/>
      <c r="Q2" s="316"/>
      <c r="R2" s="316"/>
      <c r="S2" s="316"/>
      <c r="T2" s="316"/>
      <c r="U2" s="316"/>
      <c r="V2" s="316"/>
      <c r="W2" s="316"/>
      <c r="X2" s="316"/>
      <c r="Y2" s="316"/>
      <c r="Z2" s="316"/>
      <c r="AA2" s="316"/>
      <c r="AB2" s="316"/>
      <c r="AC2" s="316"/>
      <c r="AD2" s="317"/>
      <c r="AE2" s="34"/>
    </row>
    <row r="3" spans="1:31" x14ac:dyDescent="0.25">
      <c r="A3" s="33"/>
      <c r="B3" s="356"/>
      <c r="C3" s="363" t="s">
        <v>13</v>
      </c>
      <c r="D3" s="316"/>
      <c r="E3" s="364" t="s">
        <v>15</v>
      </c>
      <c r="F3" s="317"/>
      <c r="G3" s="35" t="s">
        <v>16</v>
      </c>
      <c r="H3" s="36" t="s">
        <v>155</v>
      </c>
      <c r="I3" s="137" t="s">
        <v>156</v>
      </c>
      <c r="J3" s="37" t="s">
        <v>20</v>
      </c>
      <c r="K3" s="125" t="s">
        <v>22</v>
      </c>
      <c r="L3" s="356"/>
      <c r="M3" s="361"/>
      <c r="N3" s="312"/>
      <c r="O3" s="312"/>
      <c r="P3" s="312"/>
      <c r="Q3" s="312"/>
      <c r="R3" s="312"/>
      <c r="S3" s="312"/>
      <c r="T3" s="312"/>
      <c r="U3" s="312"/>
      <c r="V3" s="312"/>
      <c r="W3" s="312"/>
      <c r="X3" s="312"/>
      <c r="Y3" s="312"/>
      <c r="Z3" s="312"/>
      <c r="AA3" s="312"/>
      <c r="AB3" s="312"/>
      <c r="AC3" s="312"/>
      <c r="AD3" s="310"/>
      <c r="AE3" s="34"/>
    </row>
    <row r="4" spans="1:31" x14ac:dyDescent="0.25">
      <c r="A4" s="33"/>
      <c r="B4" s="357"/>
      <c r="C4" s="111" t="s">
        <v>26</v>
      </c>
      <c r="D4" s="112" t="s">
        <v>27</v>
      </c>
      <c r="E4" s="145" t="s">
        <v>26</v>
      </c>
      <c r="F4" s="38" t="s">
        <v>27</v>
      </c>
      <c r="G4" s="116" t="s">
        <v>30</v>
      </c>
      <c r="H4" s="121" t="s">
        <v>26</v>
      </c>
      <c r="I4" s="39" t="s">
        <v>35</v>
      </c>
      <c r="J4" s="123" t="s">
        <v>26</v>
      </c>
      <c r="K4" s="40" t="s">
        <v>38</v>
      </c>
      <c r="L4" s="357"/>
      <c r="M4" s="41" t="s">
        <v>39</v>
      </c>
      <c r="N4" s="42" t="s">
        <v>40</v>
      </c>
      <c r="O4" s="42" t="s">
        <v>41</v>
      </c>
      <c r="P4" s="42" t="s">
        <v>157</v>
      </c>
      <c r="Q4" s="43" t="s">
        <v>42</v>
      </c>
      <c r="R4" s="43" t="s">
        <v>43</v>
      </c>
      <c r="S4" s="43" t="s">
        <v>44</v>
      </c>
      <c r="T4" s="43" t="s">
        <v>45</v>
      </c>
      <c r="U4" s="43" t="s">
        <v>46</v>
      </c>
      <c r="V4" s="43" t="s">
        <v>47</v>
      </c>
      <c r="W4" s="43" t="s">
        <v>48</v>
      </c>
      <c r="X4" s="43" t="s">
        <v>49</v>
      </c>
      <c r="Y4" s="43" t="s">
        <v>50</v>
      </c>
      <c r="Z4" s="43" t="s">
        <v>51</v>
      </c>
      <c r="AA4" s="43" t="s">
        <v>52</v>
      </c>
      <c r="AB4" s="43" t="s">
        <v>53</v>
      </c>
      <c r="AC4" s="43" t="s">
        <v>54</v>
      </c>
      <c r="AD4" s="44" t="s">
        <v>55</v>
      </c>
      <c r="AE4" s="34"/>
    </row>
    <row r="5" spans="1:31" x14ac:dyDescent="0.25">
      <c r="A5" s="34"/>
      <c r="B5" s="45" t="s">
        <v>56</v>
      </c>
      <c r="C5" s="34">
        <f>20/(IF($J$36="Yes",1,0)+1)*(IF($J$39="Yes",1,0)+1)</f>
        <v>20</v>
      </c>
      <c r="D5" s="34">
        <f>ROUNDUP(C5/2,0)</f>
        <v>10</v>
      </c>
      <c r="E5" s="25">
        <f>ROUNDUP(C5/2,0)</f>
        <v>10</v>
      </c>
      <c r="F5" s="46">
        <f t="shared" ref="F5:F33" si="0">ROUNDUP(E5/2,0)</f>
        <v>5</v>
      </c>
      <c r="G5" s="26">
        <f>ROUNDUP(C5/18,0)</f>
        <v>2</v>
      </c>
      <c r="H5" s="27">
        <f>ROUNDUP(C5,0)</f>
        <v>20</v>
      </c>
      <c r="I5" s="138">
        <f>ROUNDUP(C5/4,0)</f>
        <v>5</v>
      </c>
      <c r="J5" s="28">
        <f>ROUNDUP(H5/3,0)</f>
        <v>7</v>
      </c>
      <c r="K5" s="126">
        <f>ROUNDUP(C5/30,0)</f>
        <v>1</v>
      </c>
      <c r="L5" s="45" t="str">
        <f t="shared" ref="L5:L33" si="1">B5</f>
        <v>Tiger</v>
      </c>
      <c r="M5" s="98">
        <v>0</v>
      </c>
      <c r="N5" s="34"/>
      <c r="O5" s="34"/>
      <c r="P5" s="34"/>
      <c r="Q5" s="34"/>
      <c r="R5" s="34"/>
      <c r="S5" s="34"/>
      <c r="T5" s="34"/>
      <c r="U5" s="34"/>
      <c r="V5" s="34"/>
      <c r="W5" s="34"/>
      <c r="X5" s="34"/>
      <c r="Y5" s="34"/>
      <c r="Z5" s="99">
        <v>3</v>
      </c>
      <c r="AA5" s="99">
        <v>0</v>
      </c>
      <c r="AB5" s="34"/>
      <c r="AC5" s="34"/>
      <c r="AD5" s="101"/>
      <c r="AE5" s="34"/>
    </row>
    <row r="6" spans="1:31" x14ac:dyDescent="0.25">
      <c r="A6" s="34"/>
      <c r="B6" s="129" t="s">
        <v>58</v>
      </c>
      <c r="C6" s="113">
        <f>15/(IF($J$36="Yes",1,0)+1)*(IF($J$39="Yes",1,0)+1)</f>
        <v>15</v>
      </c>
      <c r="D6" s="113">
        <f t="shared" ref="D6:D33" si="2">ROUNDUP(C6/2,0)</f>
        <v>8</v>
      </c>
      <c r="E6" s="29">
        <f t="shared" ref="E6:E33" si="3">ROUNDUP(C6/2,0)</f>
        <v>8</v>
      </c>
      <c r="F6" s="48">
        <f t="shared" si="0"/>
        <v>4</v>
      </c>
      <c r="G6" s="117">
        <f t="shared" ref="G6:G33" si="4">ROUNDUP(C6/18,0)</f>
        <v>1</v>
      </c>
      <c r="H6" s="120">
        <f t="shared" ref="H6:H33" si="5">ROUNDUP(C6,0)</f>
        <v>15</v>
      </c>
      <c r="I6" s="30">
        <f t="shared" ref="I6:I33" si="6">ROUNDUP(C6/4,0)</f>
        <v>4</v>
      </c>
      <c r="J6" s="124">
        <f t="shared" ref="J6:J33" si="7">ROUNDUP(H6/3,0)</f>
        <v>5</v>
      </c>
      <c r="K6" s="49">
        <f t="shared" ref="K6:K33" si="8">ROUNDUP(C6/30,0)</f>
        <v>1</v>
      </c>
      <c r="L6" s="129" t="str">
        <f t="shared" si="1"/>
        <v>Crow</v>
      </c>
      <c r="M6" s="199">
        <v>0</v>
      </c>
      <c r="N6" s="34"/>
      <c r="O6" s="34"/>
      <c r="P6" s="34"/>
      <c r="Q6" s="34"/>
      <c r="R6" s="34"/>
      <c r="S6" s="34"/>
      <c r="T6" s="34"/>
      <c r="U6" s="34"/>
      <c r="V6" s="34"/>
      <c r="W6" s="34"/>
      <c r="X6" s="200">
        <v>0</v>
      </c>
      <c r="Y6" s="34"/>
      <c r="Z6" s="34"/>
      <c r="AA6" s="34"/>
      <c r="AB6" s="34"/>
      <c r="AC6" s="34"/>
      <c r="AD6" s="101"/>
      <c r="AE6" s="34"/>
    </row>
    <row r="7" spans="1:31" x14ac:dyDescent="0.25">
      <c r="A7" s="34"/>
      <c r="B7" s="50" t="s">
        <v>60</v>
      </c>
      <c r="C7" s="34">
        <f>5/(IF($J$36="Yes",1,0)+1)*(IF($J$39="Yes",1,0)+1)</f>
        <v>5</v>
      </c>
      <c r="D7" s="34">
        <f t="shared" si="2"/>
        <v>3</v>
      </c>
      <c r="E7" s="25">
        <f t="shared" si="3"/>
        <v>3</v>
      </c>
      <c r="F7" s="46">
        <f t="shared" si="0"/>
        <v>2</v>
      </c>
      <c r="G7" s="26">
        <f t="shared" si="4"/>
        <v>1</v>
      </c>
      <c r="H7" s="27">
        <f t="shared" si="5"/>
        <v>5</v>
      </c>
      <c r="I7" s="138">
        <f t="shared" si="6"/>
        <v>2</v>
      </c>
      <c r="J7" s="28">
        <f t="shared" si="7"/>
        <v>2</v>
      </c>
      <c r="K7" s="126">
        <f t="shared" si="8"/>
        <v>1</v>
      </c>
      <c r="L7" s="50" t="str">
        <f t="shared" si="1"/>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62</v>
      </c>
      <c r="C8" s="113">
        <f>100/(IF($J$36="Yes",1,0)+1)*(IF($J$39="Yes",1,0)+1)</f>
        <v>100</v>
      </c>
      <c r="D8" s="113">
        <f t="shared" si="2"/>
        <v>50</v>
      </c>
      <c r="E8" s="29">
        <f t="shared" si="3"/>
        <v>50</v>
      </c>
      <c r="F8" s="48">
        <f t="shared" si="0"/>
        <v>25</v>
      </c>
      <c r="G8" s="117">
        <f t="shared" si="4"/>
        <v>6</v>
      </c>
      <c r="H8" s="120">
        <f t="shared" si="5"/>
        <v>100</v>
      </c>
      <c r="I8" s="30">
        <f t="shared" si="6"/>
        <v>25</v>
      </c>
      <c r="J8" s="124">
        <f t="shared" si="7"/>
        <v>34</v>
      </c>
      <c r="K8" s="49">
        <f t="shared" si="8"/>
        <v>4</v>
      </c>
      <c r="L8" s="129" t="str">
        <f t="shared" si="1"/>
        <v>T-Rex</v>
      </c>
      <c r="M8" s="199">
        <v>0</v>
      </c>
      <c r="N8" s="34"/>
      <c r="O8" s="34"/>
      <c r="P8" s="34"/>
      <c r="Q8" s="34"/>
      <c r="R8" s="34"/>
      <c r="S8" s="34"/>
      <c r="T8" s="34"/>
      <c r="U8" s="34"/>
      <c r="V8" s="34"/>
      <c r="W8" s="34"/>
      <c r="X8" s="34"/>
      <c r="Y8" s="34"/>
      <c r="Z8" s="34"/>
      <c r="AA8" s="34"/>
      <c r="AB8" s="34"/>
      <c r="AC8" s="34"/>
      <c r="AD8" s="101"/>
      <c r="AE8" s="34"/>
    </row>
    <row r="9" spans="1:31" x14ac:dyDescent="0.25">
      <c r="A9" s="34"/>
      <c r="B9" s="50" t="s">
        <v>64</v>
      </c>
      <c r="C9" s="34">
        <f>4/(IF($J$36="Yes",1,0)+1)*(IF($J$39="Yes",1,0)+1)</f>
        <v>4</v>
      </c>
      <c r="D9" s="34">
        <f t="shared" si="2"/>
        <v>2</v>
      </c>
      <c r="E9" s="25">
        <f t="shared" si="3"/>
        <v>2</v>
      </c>
      <c r="F9" s="46">
        <f t="shared" si="0"/>
        <v>1</v>
      </c>
      <c r="G9" s="26">
        <f t="shared" si="4"/>
        <v>1</v>
      </c>
      <c r="H9" s="27">
        <f t="shared" si="5"/>
        <v>4</v>
      </c>
      <c r="I9" s="138">
        <f t="shared" si="6"/>
        <v>1</v>
      </c>
      <c r="J9" s="28">
        <f t="shared" si="7"/>
        <v>2</v>
      </c>
      <c r="K9" s="126">
        <f t="shared" si="8"/>
        <v>1</v>
      </c>
      <c r="L9" s="50" t="str">
        <f t="shared" si="1"/>
        <v>Rat</v>
      </c>
      <c r="M9" s="47"/>
      <c r="N9" s="99">
        <v>0</v>
      </c>
      <c r="O9" s="99">
        <v>4</v>
      </c>
      <c r="P9" s="99">
        <v>0</v>
      </c>
      <c r="Q9" s="99"/>
      <c r="R9" s="99"/>
      <c r="S9" s="99"/>
      <c r="T9" s="99"/>
      <c r="U9" s="99"/>
      <c r="V9" s="99"/>
      <c r="W9" s="99"/>
      <c r="X9" s="99"/>
      <c r="Y9" s="99"/>
      <c r="Z9" s="99"/>
      <c r="AA9" s="99"/>
      <c r="AB9" s="99"/>
      <c r="AC9" s="99"/>
      <c r="AD9" s="101"/>
      <c r="AE9" s="34"/>
    </row>
    <row r="10" spans="1:31" x14ac:dyDescent="0.25">
      <c r="A10" s="34"/>
      <c r="B10" s="129" t="s">
        <v>65</v>
      </c>
      <c r="C10" s="113">
        <f>10/(IF($J$36="Yes",1,0)+1)*(IF($J$39="Yes",1,0)+1)</f>
        <v>10</v>
      </c>
      <c r="D10" s="113">
        <f t="shared" si="2"/>
        <v>5</v>
      </c>
      <c r="E10" s="29">
        <f t="shared" si="3"/>
        <v>5</v>
      </c>
      <c r="F10" s="48">
        <f t="shared" si="0"/>
        <v>3</v>
      </c>
      <c r="G10" s="117">
        <f t="shared" si="4"/>
        <v>1</v>
      </c>
      <c r="H10" s="120">
        <f t="shared" si="5"/>
        <v>10</v>
      </c>
      <c r="I10" s="30">
        <f t="shared" si="6"/>
        <v>3</v>
      </c>
      <c r="J10" s="124">
        <f t="shared" si="7"/>
        <v>4</v>
      </c>
      <c r="K10" s="49">
        <f t="shared" si="8"/>
        <v>1</v>
      </c>
      <c r="L10" s="129" t="str">
        <f t="shared" si="1"/>
        <v>Dog</v>
      </c>
      <c r="M10" s="47"/>
      <c r="N10" s="200">
        <v>2</v>
      </c>
      <c r="O10" s="200">
        <v>2</v>
      </c>
      <c r="P10" s="200">
        <v>0</v>
      </c>
      <c r="Q10" s="200">
        <v>1</v>
      </c>
      <c r="R10" s="200">
        <v>4</v>
      </c>
      <c r="S10" s="100"/>
      <c r="T10" s="100"/>
      <c r="U10" s="100"/>
      <c r="V10" s="100"/>
      <c r="W10" s="100"/>
      <c r="X10" s="100"/>
      <c r="Y10" s="100"/>
      <c r="Z10" s="100"/>
      <c r="AA10" s="100"/>
      <c r="AB10" s="100"/>
      <c r="AC10" s="100"/>
      <c r="AD10" s="201">
        <v>4</v>
      </c>
      <c r="AE10" s="34"/>
    </row>
    <row r="11" spans="1:31" x14ac:dyDescent="0.25">
      <c r="A11" s="34"/>
      <c r="B11" s="50" t="s">
        <v>67</v>
      </c>
      <c r="C11" s="34">
        <f>27/(IF($J$36="Yes",1,0)+1)*(IF($J$39="Yes",1,0)+1)</f>
        <v>27</v>
      </c>
      <c r="D11" s="34">
        <f t="shared" si="2"/>
        <v>14</v>
      </c>
      <c r="E11" s="25">
        <f t="shared" si="3"/>
        <v>14</v>
      </c>
      <c r="F11" s="46">
        <f t="shared" si="0"/>
        <v>7</v>
      </c>
      <c r="G11" s="26">
        <f t="shared" si="4"/>
        <v>2</v>
      </c>
      <c r="H11" s="27">
        <f t="shared" si="5"/>
        <v>27</v>
      </c>
      <c r="I11" s="138">
        <f t="shared" si="6"/>
        <v>7</v>
      </c>
      <c r="J11" s="28">
        <f t="shared" si="7"/>
        <v>9</v>
      </c>
      <c r="K11" s="126">
        <f t="shared" si="8"/>
        <v>1</v>
      </c>
      <c r="L11" s="50" t="str">
        <f t="shared" si="1"/>
        <v>Melee Thug</v>
      </c>
      <c r="M11" s="47"/>
      <c r="N11" s="99">
        <v>0</v>
      </c>
      <c r="O11" s="99">
        <v>4</v>
      </c>
      <c r="P11" s="99">
        <v>0</v>
      </c>
      <c r="Q11" s="99">
        <v>2</v>
      </c>
      <c r="R11" s="99">
        <v>2</v>
      </c>
      <c r="S11" s="99">
        <v>0</v>
      </c>
      <c r="T11" s="99">
        <v>2</v>
      </c>
      <c r="U11" s="99">
        <v>1</v>
      </c>
      <c r="V11" s="99">
        <v>2</v>
      </c>
      <c r="W11" s="99"/>
      <c r="X11" s="99"/>
      <c r="Y11" s="99"/>
      <c r="Z11" s="99"/>
      <c r="AA11" s="99"/>
      <c r="AB11" s="99"/>
      <c r="AC11" s="99"/>
      <c r="AD11" s="205">
        <v>4</v>
      </c>
      <c r="AE11" s="34"/>
    </row>
    <row r="12" spans="1:31" x14ac:dyDescent="0.25">
      <c r="A12" s="34"/>
      <c r="B12" s="129" t="s">
        <v>68</v>
      </c>
      <c r="C12" s="113">
        <f>25/(IF($J$36="Yes",1,0)+1)*(IF($J$39="Yes",1,0)+1)</f>
        <v>25</v>
      </c>
      <c r="D12" s="113">
        <f t="shared" si="2"/>
        <v>13</v>
      </c>
      <c r="E12" s="29">
        <f t="shared" si="3"/>
        <v>13</v>
      </c>
      <c r="F12" s="48">
        <f t="shared" si="0"/>
        <v>7</v>
      </c>
      <c r="G12" s="117">
        <f t="shared" si="4"/>
        <v>2</v>
      </c>
      <c r="H12" s="120">
        <f t="shared" si="5"/>
        <v>25</v>
      </c>
      <c r="I12" s="30">
        <f t="shared" si="6"/>
        <v>7</v>
      </c>
      <c r="J12" s="124">
        <f t="shared" si="7"/>
        <v>9</v>
      </c>
      <c r="K12" s="49">
        <f t="shared" si="8"/>
        <v>1</v>
      </c>
      <c r="L12" s="129" t="str">
        <f t="shared" si="1"/>
        <v>Pistol Thug</v>
      </c>
      <c r="M12" s="47"/>
      <c r="N12" s="200">
        <v>0</v>
      </c>
      <c r="O12" s="200">
        <v>0</v>
      </c>
      <c r="P12" s="200">
        <v>0</v>
      </c>
      <c r="Q12" s="100"/>
      <c r="R12" s="100"/>
      <c r="S12" s="100"/>
      <c r="T12" s="100"/>
      <c r="U12" s="100"/>
      <c r="V12" s="100"/>
      <c r="W12" s="100"/>
      <c r="X12" s="100"/>
      <c r="Y12" s="100"/>
      <c r="Z12" s="100"/>
      <c r="AA12" s="100"/>
      <c r="AB12" s="100"/>
      <c r="AC12" s="100"/>
      <c r="AD12" s="201">
        <v>7</v>
      </c>
      <c r="AE12" s="34"/>
    </row>
    <row r="13" spans="1:31" x14ac:dyDescent="0.25">
      <c r="A13" s="34"/>
      <c r="B13" s="50" t="s">
        <v>69</v>
      </c>
      <c r="C13" s="34">
        <f>150/(IF($J$36="Yes",1,0)+1)*(IF($J$39="Yes",1,0)+1)</f>
        <v>150</v>
      </c>
      <c r="D13" s="34">
        <f t="shared" si="2"/>
        <v>75</v>
      </c>
      <c r="E13" s="25">
        <f t="shared" si="3"/>
        <v>75</v>
      </c>
      <c r="F13" s="46">
        <f t="shared" si="0"/>
        <v>38</v>
      </c>
      <c r="G13" s="26">
        <f t="shared" si="4"/>
        <v>9</v>
      </c>
      <c r="H13" s="27">
        <f t="shared" si="5"/>
        <v>150</v>
      </c>
      <c r="I13" s="138">
        <f t="shared" si="6"/>
        <v>38</v>
      </c>
      <c r="J13" s="28">
        <f t="shared" si="7"/>
        <v>50</v>
      </c>
      <c r="K13" s="126">
        <f t="shared" si="8"/>
        <v>5</v>
      </c>
      <c r="L13" s="50" t="str">
        <f t="shared" si="1"/>
        <v>Colt</v>
      </c>
      <c r="M13" s="47"/>
      <c r="N13" s="34"/>
      <c r="O13" s="99"/>
      <c r="P13" s="99">
        <v>0</v>
      </c>
      <c r="Q13" s="99"/>
      <c r="R13" s="99"/>
      <c r="S13" s="99"/>
      <c r="T13" s="99"/>
      <c r="U13" s="99"/>
      <c r="V13" s="99"/>
      <c r="W13" s="99"/>
      <c r="X13" s="99"/>
      <c r="Y13" s="99"/>
      <c r="Z13" s="99"/>
      <c r="AA13" s="99"/>
      <c r="AB13" s="99"/>
      <c r="AC13" s="99"/>
      <c r="AD13" s="205">
        <v>1</v>
      </c>
      <c r="AE13" s="34"/>
    </row>
    <row r="14" spans="1:31" x14ac:dyDescent="0.25">
      <c r="A14" s="34"/>
      <c r="B14" s="129" t="s">
        <v>71</v>
      </c>
      <c r="C14" s="113">
        <f>25/(IF($J$36="Yes",1,0)+1)*(IF($J$39="Yes",1,0)+1)</f>
        <v>25</v>
      </c>
      <c r="D14" s="113">
        <f t="shared" si="2"/>
        <v>13</v>
      </c>
      <c r="E14" s="29">
        <f t="shared" si="3"/>
        <v>13</v>
      </c>
      <c r="F14" s="48">
        <f t="shared" si="0"/>
        <v>7</v>
      </c>
      <c r="G14" s="117">
        <f t="shared" si="4"/>
        <v>2</v>
      </c>
      <c r="H14" s="120">
        <f t="shared" si="5"/>
        <v>25</v>
      </c>
      <c r="I14" s="30">
        <f t="shared" si="6"/>
        <v>7</v>
      </c>
      <c r="J14" s="124">
        <f t="shared" si="7"/>
        <v>9</v>
      </c>
      <c r="K14" s="49">
        <f t="shared" si="8"/>
        <v>1</v>
      </c>
      <c r="L14" s="129" t="str">
        <f t="shared" si="1"/>
        <v>Shotgun Thug</v>
      </c>
      <c r="M14" s="47"/>
      <c r="N14" s="34"/>
      <c r="O14" s="100"/>
      <c r="P14" s="100"/>
      <c r="Q14" s="200">
        <v>1</v>
      </c>
      <c r="R14" s="200">
        <v>2</v>
      </c>
      <c r="S14" s="200">
        <v>0</v>
      </c>
      <c r="T14" s="200">
        <v>1</v>
      </c>
      <c r="U14" s="200">
        <v>2</v>
      </c>
      <c r="V14" s="200">
        <v>1</v>
      </c>
      <c r="W14" s="100"/>
      <c r="X14" s="100"/>
      <c r="Y14" s="100"/>
      <c r="Z14" s="100"/>
      <c r="AA14" s="100"/>
      <c r="AB14" s="100"/>
      <c r="AC14" s="100"/>
      <c r="AD14" s="101"/>
      <c r="AE14" s="34"/>
    </row>
    <row r="15" spans="1:31" x14ac:dyDescent="0.25">
      <c r="A15" s="34"/>
      <c r="B15" s="50" t="s">
        <v>72</v>
      </c>
      <c r="C15" s="34">
        <f>20/(IF($J$36="Yes",1,0)+1)*(IF($J$39="Yes",1,0)+1)</f>
        <v>20</v>
      </c>
      <c r="D15" s="34">
        <f t="shared" si="2"/>
        <v>10</v>
      </c>
      <c r="E15" s="25">
        <f t="shared" si="3"/>
        <v>10</v>
      </c>
      <c r="F15" s="46">
        <f t="shared" si="0"/>
        <v>5</v>
      </c>
      <c r="G15" s="26">
        <f t="shared" si="4"/>
        <v>2</v>
      </c>
      <c r="H15" s="27">
        <f t="shared" si="5"/>
        <v>20</v>
      </c>
      <c r="I15" s="138">
        <f t="shared" si="6"/>
        <v>5</v>
      </c>
      <c r="J15" s="28">
        <f t="shared" si="7"/>
        <v>7</v>
      </c>
      <c r="K15" s="126">
        <f t="shared" si="8"/>
        <v>1</v>
      </c>
      <c r="L15" s="50" t="str">
        <f t="shared" si="1"/>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73</v>
      </c>
      <c r="C16" s="113">
        <f>20/(IF($J$36="Yes",1,0)+1)*(IF($J$39="Yes",1,0)+1)</f>
        <v>20</v>
      </c>
      <c r="D16" s="113">
        <f t="shared" si="2"/>
        <v>10</v>
      </c>
      <c r="E16" s="29">
        <f t="shared" si="3"/>
        <v>10</v>
      </c>
      <c r="F16" s="48">
        <f t="shared" si="0"/>
        <v>5</v>
      </c>
      <c r="G16" s="117">
        <f t="shared" si="4"/>
        <v>2</v>
      </c>
      <c r="H16" s="120">
        <f t="shared" si="5"/>
        <v>20</v>
      </c>
      <c r="I16" s="30">
        <f t="shared" si="6"/>
        <v>5</v>
      </c>
      <c r="J16" s="124">
        <f t="shared" si="7"/>
        <v>7</v>
      </c>
      <c r="K16" s="49">
        <f t="shared" si="8"/>
        <v>1</v>
      </c>
      <c r="L16" s="129" t="str">
        <f t="shared" si="1"/>
        <v>Flamethrower</v>
      </c>
      <c r="M16" s="47"/>
      <c r="N16" s="34"/>
      <c r="O16" s="100"/>
      <c r="P16" s="100"/>
      <c r="Q16" s="100"/>
      <c r="R16" s="200">
        <v>1</v>
      </c>
      <c r="S16" s="100"/>
      <c r="T16" s="100"/>
      <c r="U16" s="100"/>
      <c r="V16" s="200">
        <v>2</v>
      </c>
      <c r="W16" s="100"/>
      <c r="X16" s="100"/>
      <c r="Y16" s="100"/>
      <c r="Z16" s="100"/>
      <c r="AA16" s="100"/>
      <c r="AB16" s="100"/>
      <c r="AC16" s="100"/>
      <c r="AD16" s="101"/>
      <c r="AE16" s="34"/>
    </row>
    <row r="17" spans="1:31" x14ac:dyDescent="0.25">
      <c r="A17" s="34"/>
      <c r="B17" s="50" t="s">
        <v>145</v>
      </c>
      <c r="C17" s="34">
        <f>20/(IF($J$36="Yes",1,0)+1)*(IF($J$39="Yes",1,0)+1)</f>
        <v>20</v>
      </c>
      <c r="D17" s="34">
        <f t="shared" si="2"/>
        <v>10</v>
      </c>
      <c r="E17" s="25">
        <f t="shared" si="3"/>
        <v>10</v>
      </c>
      <c r="F17" s="46">
        <f t="shared" si="0"/>
        <v>5</v>
      </c>
      <c r="G17" s="26">
        <f t="shared" si="4"/>
        <v>2</v>
      </c>
      <c r="H17" s="27">
        <f t="shared" si="5"/>
        <v>20</v>
      </c>
      <c r="I17" s="138">
        <f t="shared" si="6"/>
        <v>5</v>
      </c>
      <c r="J17" s="28">
        <f t="shared" si="7"/>
        <v>7</v>
      </c>
      <c r="K17" s="126">
        <f t="shared" si="8"/>
        <v>1</v>
      </c>
      <c r="L17" s="50" t="str">
        <f t="shared" si="1"/>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75</v>
      </c>
      <c r="C18" s="113">
        <f>30/(IF($J$36="Yes",1,0)+1)*(IF($J$39="Yes",1,0)+1)</f>
        <v>30</v>
      </c>
      <c r="D18" s="113">
        <f t="shared" si="2"/>
        <v>15</v>
      </c>
      <c r="E18" s="29">
        <f t="shared" si="3"/>
        <v>15</v>
      </c>
      <c r="F18" s="48">
        <f t="shared" si="0"/>
        <v>8</v>
      </c>
      <c r="G18" s="117">
        <f t="shared" si="4"/>
        <v>2</v>
      </c>
      <c r="H18" s="120">
        <f t="shared" si="5"/>
        <v>30</v>
      </c>
      <c r="I18" s="30">
        <f t="shared" si="6"/>
        <v>8</v>
      </c>
      <c r="J18" s="124">
        <f t="shared" si="7"/>
        <v>10</v>
      </c>
      <c r="K18" s="49">
        <f t="shared" si="8"/>
        <v>1</v>
      </c>
      <c r="L18" s="129" t="str">
        <f t="shared" si="1"/>
        <v>Shark</v>
      </c>
      <c r="M18" s="47"/>
      <c r="N18" s="34"/>
      <c r="O18" s="100"/>
      <c r="P18" s="100"/>
      <c r="Q18" s="100"/>
      <c r="R18" s="100"/>
      <c r="S18" s="200">
        <v>0</v>
      </c>
      <c r="T18" s="200">
        <v>0</v>
      </c>
      <c r="U18" s="100"/>
      <c r="V18" s="200">
        <v>0</v>
      </c>
      <c r="W18" s="100"/>
      <c r="X18" s="100"/>
      <c r="Y18" s="100"/>
      <c r="Z18" s="100"/>
      <c r="AA18" s="100"/>
      <c r="AB18" s="100"/>
      <c r="AC18" s="100"/>
      <c r="AD18" s="101"/>
      <c r="AE18" s="34"/>
    </row>
    <row r="19" spans="1:31" x14ac:dyDescent="0.25">
      <c r="A19" s="34"/>
      <c r="B19" s="50" t="s">
        <v>77</v>
      </c>
      <c r="C19" s="34">
        <f>12/(IF($J$36="Yes",1,0)+1)*(IF($J$39="Yes",1,0)+1)</f>
        <v>12</v>
      </c>
      <c r="D19" s="34">
        <f t="shared" si="2"/>
        <v>6</v>
      </c>
      <c r="E19" s="25">
        <f t="shared" si="3"/>
        <v>6</v>
      </c>
      <c r="F19" s="46">
        <f t="shared" si="0"/>
        <v>3</v>
      </c>
      <c r="G19" s="26">
        <f t="shared" si="4"/>
        <v>1</v>
      </c>
      <c r="H19" s="27">
        <f t="shared" si="5"/>
        <v>12</v>
      </c>
      <c r="I19" s="138">
        <f t="shared" si="6"/>
        <v>3</v>
      </c>
      <c r="J19" s="28">
        <f t="shared" si="7"/>
        <v>4</v>
      </c>
      <c r="K19" s="126">
        <f t="shared" si="8"/>
        <v>1</v>
      </c>
      <c r="L19" s="50" t="str">
        <f t="shared" si="1"/>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78</v>
      </c>
      <c r="C20" s="113">
        <f>45/(IF($J$36="Yes",1,0)+1)*(IF($J$39="Yes",1,0)+1)</f>
        <v>45</v>
      </c>
      <c r="D20" s="113">
        <f t="shared" si="2"/>
        <v>23</v>
      </c>
      <c r="E20" s="29">
        <f t="shared" si="3"/>
        <v>23</v>
      </c>
      <c r="F20" s="48">
        <f t="shared" si="0"/>
        <v>12</v>
      </c>
      <c r="G20" s="117">
        <f t="shared" si="4"/>
        <v>3</v>
      </c>
      <c r="H20" s="120">
        <f t="shared" si="5"/>
        <v>45</v>
      </c>
      <c r="I20" s="30">
        <f t="shared" si="6"/>
        <v>12</v>
      </c>
      <c r="J20" s="124">
        <f t="shared" si="7"/>
        <v>15</v>
      </c>
      <c r="K20" s="49">
        <f t="shared" si="8"/>
        <v>2</v>
      </c>
      <c r="L20" s="129" t="str">
        <f t="shared" si="1"/>
        <v>Uzi Thug</v>
      </c>
      <c r="M20" s="47"/>
      <c r="N20" s="34"/>
      <c r="O20" s="100"/>
      <c r="P20" s="100"/>
      <c r="Q20" s="100"/>
      <c r="R20" s="100"/>
      <c r="S20" s="100"/>
      <c r="T20" s="100"/>
      <c r="U20" s="100"/>
      <c r="V20" s="100"/>
      <c r="W20" s="100"/>
      <c r="X20" s="200">
        <v>1</v>
      </c>
      <c r="Y20" s="200">
        <v>1</v>
      </c>
      <c r="Z20" s="100"/>
      <c r="AA20" s="100"/>
      <c r="AB20" s="100"/>
      <c r="AC20" s="100"/>
      <c r="AD20" s="101"/>
      <c r="AE20" s="34"/>
    </row>
    <row r="21" spans="1:31" x14ac:dyDescent="0.25">
      <c r="A21" s="34"/>
      <c r="B21" s="50" t="s">
        <v>80</v>
      </c>
      <c r="C21" s="34">
        <f>50/(IF($J$36="Yes",1,0)+1)*(IF($J$39="Yes",1,0)+1)</f>
        <v>50</v>
      </c>
      <c r="D21" s="34">
        <f t="shared" si="2"/>
        <v>25</v>
      </c>
      <c r="E21" s="25">
        <f t="shared" si="3"/>
        <v>25</v>
      </c>
      <c r="F21" s="46">
        <f t="shared" si="0"/>
        <v>13</v>
      </c>
      <c r="G21" s="26">
        <f t="shared" si="4"/>
        <v>3</v>
      </c>
      <c r="H21" s="27">
        <f t="shared" si="5"/>
        <v>50</v>
      </c>
      <c r="I21" s="138">
        <f t="shared" si="6"/>
        <v>13</v>
      </c>
      <c r="J21" s="28">
        <f t="shared" si="7"/>
        <v>17</v>
      </c>
      <c r="K21" s="126">
        <f t="shared" si="8"/>
        <v>2</v>
      </c>
      <c r="L21" s="50" t="str">
        <f t="shared" si="1"/>
        <v>Burst Pistol Thug</v>
      </c>
      <c r="M21" s="47"/>
      <c r="N21" s="34"/>
      <c r="O21" s="99"/>
      <c r="P21" s="99"/>
      <c r="Q21" s="99"/>
      <c r="R21" s="99"/>
      <c r="S21" s="99"/>
      <c r="T21" s="99"/>
      <c r="U21" s="99"/>
      <c r="V21" s="99"/>
      <c r="W21" s="99">
        <v>0</v>
      </c>
      <c r="X21" s="99">
        <v>1</v>
      </c>
      <c r="Y21" s="99">
        <v>1</v>
      </c>
      <c r="Z21" s="99"/>
      <c r="AA21" s="99"/>
      <c r="AB21" s="99"/>
      <c r="AC21" s="99"/>
      <c r="AD21" s="101"/>
      <c r="AE21" s="34"/>
    </row>
    <row r="22" spans="1:31" x14ac:dyDescent="0.25">
      <c r="A22" s="34"/>
      <c r="B22" s="129" t="s">
        <v>81</v>
      </c>
      <c r="C22" s="113">
        <f>100/(IF($J$36="Yes",1,0)+1)*(IF($J$39="Yes",1,0)+1)</f>
        <v>100</v>
      </c>
      <c r="D22" s="113">
        <f t="shared" si="2"/>
        <v>50</v>
      </c>
      <c r="E22" s="29">
        <f t="shared" si="3"/>
        <v>50</v>
      </c>
      <c r="F22" s="48">
        <f t="shared" si="0"/>
        <v>25</v>
      </c>
      <c r="G22" s="117">
        <f t="shared" si="4"/>
        <v>6</v>
      </c>
      <c r="H22" s="120">
        <f t="shared" si="5"/>
        <v>100</v>
      </c>
      <c r="I22" s="30">
        <f t="shared" si="6"/>
        <v>25</v>
      </c>
      <c r="J22" s="124">
        <f t="shared" si="7"/>
        <v>34</v>
      </c>
      <c r="K22" s="49">
        <f t="shared" si="8"/>
        <v>4</v>
      </c>
      <c r="L22" s="129" t="str">
        <f t="shared" si="1"/>
        <v>Snowmobile Thug</v>
      </c>
      <c r="M22" s="47"/>
      <c r="N22" s="34"/>
      <c r="O22" s="100"/>
      <c r="P22" s="100"/>
      <c r="Q22" s="100"/>
      <c r="R22" s="100"/>
      <c r="S22" s="100"/>
      <c r="T22" s="100"/>
      <c r="U22" s="100"/>
      <c r="V22" s="100"/>
      <c r="W22" s="200">
        <v>1</v>
      </c>
      <c r="X22" s="100"/>
      <c r="Y22" s="100"/>
      <c r="Z22" s="100"/>
      <c r="AA22" s="100"/>
      <c r="AB22" s="100"/>
      <c r="AC22" s="100"/>
      <c r="AD22" s="101"/>
      <c r="AE22" s="34"/>
    </row>
    <row r="23" spans="1:31" x14ac:dyDescent="0.25">
      <c r="A23" s="34"/>
      <c r="B23" s="50" t="s">
        <v>82</v>
      </c>
      <c r="C23" s="34">
        <f>20/(IF($J$36="Yes",1,0)+1)*(IF($J$39="Yes",1,0)+1)</f>
        <v>20</v>
      </c>
      <c r="D23" s="34">
        <f t="shared" si="2"/>
        <v>10</v>
      </c>
      <c r="E23" s="25">
        <f t="shared" si="3"/>
        <v>10</v>
      </c>
      <c r="F23" s="46">
        <f t="shared" si="0"/>
        <v>5</v>
      </c>
      <c r="G23" s="26">
        <f t="shared" si="4"/>
        <v>2</v>
      </c>
      <c r="H23" s="27">
        <f t="shared" si="5"/>
        <v>20</v>
      </c>
      <c r="I23" s="138">
        <f t="shared" si="6"/>
        <v>5</v>
      </c>
      <c r="J23" s="28">
        <f t="shared" si="7"/>
        <v>7</v>
      </c>
      <c r="K23" s="126">
        <f t="shared" si="8"/>
        <v>1</v>
      </c>
      <c r="L23" s="50" t="str">
        <f t="shared" si="1"/>
        <v>Snow Leopard</v>
      </c>
      <c r="M23" s="47"/>
      <c r="N23" s="34"/>
      <c r="O23" s="99"/>
      <c r="P23" s="99"/>
      <c r="Q23" s="99"/>
      <c r="R23" s="99"/>
      <c r="S23" s="99"/>
      <c r="T23" s="99"/>
      <c r="U23" s="99"/>
      <c r="V23" s="99"/>
      <c r="W23" s="99">
        <v>0</v>
      </c>
      <c r="X23" s="99"/>
      <c r="Y23" s="99">
        <v>2</v>
      </c>
      <c r="Z23" s="99"/>
      <c r="AA23" s="99"/>
      <c r="AB23" s="99"/>
      <c r="AC23" s="99"/>
      <c r="AD23" s="101"/>
      <c r="AE23" s="34"/>
    </row>
    <row r="24" spans="1:31" x14ac:dyDescent="0.25">
      <c r="A24" s="34"/>
      <c r="B24" s="129" t="s">
        <v>83</v>
      </c>
      <c r="C24" s="113">
        <f>30/(IF($J$36="Yes",1,0)+1)*(IF($J$39="Yes",1,0)+1)</f>
        <v>30</v>
      </c>
      <c r="D24" s="113">
        <f t="shared" si="2"/>
        <v>15</v>
      </c>
      <c r="E24" s="29">
        <f t="shared" si="3"/>
        <v>15</v>
      </c>
      <c r="F24" s="48">
        <f t="shared" si="0"/>
        <v>8</v>
      </c>
      <c r="G24" s="117">
        <f t="shared" si="4"/>
        <v>2</v>
      </c>
      <c r="H24" s="120">
        <f t="shared" si="5"/>
        <v>30</v>
      </c>
      <c r="I24" s="30">
        <f t="shared" si="6"/>
        <v>8</v>
      </c>
      <c r="J24" s="124">
        <f t="shared" si="7"/>
        <v>10</v>
      </c>
      <c r="K24" s="49">
        <f t="shared" si="8"/>
        <v>1</v>
      </c>
      <c r="L24" s="129" t="str">
        <f t="shared" si="1"/>
        <v>Monastery Monk</v>
      </c>
      <c r="M24" s="47"/>
      <c r="N24" s="34"/>
      <c r="O24" s="100"/>
      <c r="P24" s="100"/>
      <c r="Q24" s="100"/>
      <c r="R24" s="100"/>
      <c r="S24" s="100"/>
      <c r="T24" s="100"/>
      <c r="U24" s="100"/>
      <c r="V24" s="100"/>
      <c r="W24" s="100"/>
      <c r="X24" s="200">
        <v>0</v>
      </c>
      <c r="Y24" s="100"/>
      <c r="Z24" s="100"/>
      <c r="AA24" s="100"/>
      <c r="AB24" s="100"/>
      <c r="AC24" s="100"/>
      <c r="AD24" s="101"/>
      <c r="AE24" s="34"/>
    </row>
    <row r="25" spans="1:31" x14ac:dyDescent="0.25">
      <c r="A25" s="34"/>
      <c r="B25" s="50" t="s">
        <v>85</v>
      </c>
      <c r="C25" s="34">
        <f>12/(IF($J$36="Yes",1,0)+1)*(IF($J$39="Yes",1,0)+1)</f>
        <v>12</v>
      </c>
      <c r="D25" s="34">
        <f t="shared" si="2"/>
        <v>6</v>
      </c>
      <c r="E25" s="25">
        <f t="shared" si="3"/>
        <v>6</v>
      </c>
      <c r="F25" s="46">
        <f t="shared" si="0"/>
        <v>3</v>
      </c>
      <c r="G25" s="26">
        <f t="shared" si="4"/>
        <v>1</v>
      </c>
      <c r="H25" s="27">
        <f t="shared" si="5"/>
        <v>12</v>
      </c>
      <c r="I25" s="138">
        <f t="shared" si="6"/>
        <v>3</v>
      </c>
      <c r="J25" s="28">
        <f t="shared" si="7"/>
        <v>4</v>
      </c>
      <c r="K25" s="126">
        <f t="shared" si="8"/>
        <v>1</v>
      </c>
      <c r="L25" s="50" t="str">
        <f t="shared" si="1"/>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87</v>
      </c>
      <c r="C26" s="113">
        <f>30/(IF($J$36="Yes",1,0)+1)*(IF($J$39="Yes",1,0)+1)</f>
        <v>30</v>
      </c>
      <c r="D26" s="113">
        <f t="shared" si="2"/>
        <v>15</v>
      </c>
      <c r="E26" s="29">
        <f t="shared" si="3"/>
        <v>15</v>
      </c>
      <c r="F26" s="48">
        <f t="shared" si="0"/>
        <v>8</v>
      </c>
      <c r="G26" s="117">
        <f t="shared" si="4"/>
        <v>2</v>
      </c>
      <c r="H26" s="120">
        <f t="shared" si="5"/>
        <v>30</v>
      </c>
      <c r="I26" s="30">
        <f t="shared" si="6"/>
        <v>8</v>
      </c>
      <c r="J26" s="124">
        <f t="shared" si="7"/>
        <v>10</v>
      </c>
      <c r="K26" s="49">
        <f t="shared" si="8"/>
        <v>1</v>
      </c>
      <c r="L26" s="129" t="str">
        <f t="shared" si="1"/>
        <v>Yeti</v>
      </c>
      <c r="M26" s="47"/>
      <c r="N26" s="34"/>
      <c r="O26" s="100"/>
      <c r="P26" s="100"/>
      <c r="Q26" s="100"/>
      <c r="R26" s="100"/>
      <c r="S26" s="100"/>
      <c r="T26" s="100"/>
      <c r="U26" s="100"/>
      <c r="V26" s="100"/>
      <c r="W26" s="100"/>
      <c r="X26" s="100"/>
      <c r="Y26" s="200">
        <v>0</v>
      </c>
      <c r="Z26" s="200">
        <v>1</v>
      </c>
      <c r="AA26" s="100"/>
      <c r="AB26" s="100"/>
      <c r="AC26" s="100"/>
      <c r="AD26" s="101"/>
      <c r="AE26" s="34"/>
    </row>
    <row r="27" spans="1:31" x14ac:dyDescent="0.25">
      <c r="A27" s="34"/>
      <c r="B27" s="50" t="s">
        <v>88</v>
      </c>
      <c r="C27" s="34">
        <f>200/(IF($J$36="Yes",1,0)+1)*(IF($J$39="Yes",1,0)+1)</f>
        <v>200</v>
      </c>
      <c r="D27" s="34">
        <f t="shared" si="2"/>
        <v>100</v>
      </c>
      <c r="E27" s="25">
        <f t="shared" si="3"/>
        <v>100</v>
      </c>
      <c r="F27" s="46">
        <f t="shared" si="0"/>
        <v>50</v>
      </c>
      <c r="G27" s="26">
        <f t="shared" si="4"/>
        <v>12</v>
      </c>
      <c r="H27" s="27">
        <f t="shared" si="5"/>
        <v>200</v>
      </c>
      <c r="I27" s="138">
        <f t="shared" si="6"/>
        <v>50</v>
      </c>
      <c r="J27" s="28">
        <f t="shared" si="7"/>
        <v>67</v>
      </c>
      <c r="K27" s="126">
        <f t="shared" si="8"/>
        <v>7</v>
      </c>
      <c r="L27" s="50" t="str">
        <f t="shared" si="1"/>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90</v>
      </c>
      <c r="C28" s="113">
        <f>20/(IF($J$36="Yes",1,0)+1)*(IF($J$39="Yes",1,0)+1)</f>
        <v>20</v>
      </c>
      <c r="D28" s="113">
        <f t="shared" si="2"/>
        <v>10</v>
      </c>
      <c r="E28" s="29">
        <f t="shared" si="3"/>
        <v>10</v>
      </c>
      <c r="F28" s="48">
        <f t="shared" si="0"/>
        <v>5</v>
      </c>
      <c r="G28" s="117">
        <f t="shared" si="4"/>
        <v>2</v>
      </c>
      <c r="H28" s="120">
        <f t="shared" si="5"/>
        <v>20</v>
      </c>
      <c r="I28" s="30">
        <f t="shared" si="6"/>
        <v>5</v>
      </c>
      <c r="J28" s="124">
        <f t="shared" si="7"/>
        <v>7</v>
      </c>
      <c r="K28" s="49">
        <f t="shared" si="8"/>
        <v>1</v>
      </c>
      <c r="L28" s="129" t="str">
        <f t="shared" si="1"/>
        <v>Eagle</v>
      </c>
      <c r="M28" s="47"/>
      <c r="N28" s="34"/>
      <c r="O28" s="100"/>
      <c r="P28" s="100"/>
      <c r="Q28" s="100"/>
      <c r="R28" s="100"/>
      <c r="S28" s="100"/>
      <c r="T28" s="100"/>
      <c r="U28" s="100"/>
      <c r="V28" s="100"/>
      <c r="W28" s="200">
        <v>1</v>
      </c>
      <c r="X28" s="100"/>
      <c r="Y28" s="100"/>
      <c r="Z28" s="100"/>
      <c r="AA28" s="200">
        <v>2</v>
      </c>
      <c r="AB28" s="100"/>
      <c r="AC28" s="100"/>
      <c r="AD28" s="101"/>
      <c r="AE28" s="34"/>
    </row>
    <row r="29" spans="1:31" x14ac:dyDescent="0.25">
      <c r="A29" s="34"/>
      <c r="B29" s="50" t="s">
        <v>91</v>
      </c>
      <c r="C29" s="34">
        <f>40/(IF($J$36="Yes",1,0)+1)*(IF($J$39="Yes",1,0)+1)</f>
        <v>40</v>
      </c>
      <c r="D29" s="34">
        <f t="shared" si="2"/>
        <v>20</v>
      </c>
      <c r="E29" s="25">
        <f t="shared" si="3"/>
        <v>20</v>
      </c>
      <c r="F29" s="46">
        <f t="shared" si="0"/>
        <v>10</v>
      </c>
      <c r="G29" s="26">
        <f t="shared" si="4"/>
        <v>3</v>
      </c>
      <c r="H29" s="27">
        <f t="shared" si="5"/>
        <v>40</v>
      </c>
      <c r="I29" s="138">
        <f t="shared" si="6"/>
        <v>10</v>
      </c>
      <c r="J29" s="28">
        <f t="shared" si="7"/>
        <v>14</v>
      </c>
      <c r="K29" s="126">
        <f t="shared" si="8"/>
        <v>2</v>
      </c>
      <c r="L29" s="50" t="str">
        <f t="shared" si="1"/>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93</v>
      </c>
      <c r="C30" s="113">
        <f>80/(IF($J$36="Yes",1,0)+1)*(IF($J$39="Yes",1,0)+1)</f>
        <v>80</v>
      </c>
      <c r="D30" s="113">
        <f t="shared" si="2"/>
        <v>40</v>
      </c>
      <c r="E30" s="29">
        <f t="shared" si="3"/>
        <v>40</v>
      </c>
      <c r="F30" s="48">
        <f t="shared" si="0"/>
        <v>20</v>
      </c>
      <c r="G30" s="117">
        <f t="shared" si="4"/>
        <v>5</v>
      </c>
      <c r="H30" s="120">
        <f t="shared" si="5"/>
        <v>80</v>
      </c>
      <c r="I30" s="30">
        <f t="shared" si="6"/>
        <v>20</v>
      </c>
      <c r="J30" s="124">
        <f t="shared" si="7"/>
        <v>27</v>
      </c>
      <c r="K30" s="49">
        <f t="shared" si="8"/>
        <v>3</v>
      </c>
      <c r="L30" s="129" t="str">
        <f t="shared" si="1"/>
        <v>Sword Statue</v>
      </c>
      <c r="M30" s="47"/>
      <c r="N30" s="34"/>
      <c r="O30" s="100"/>
      <c r="P30" s="100"/>
      <c r="Q30" s="100"/>
      <c r="R30" s="100"/>
      <c r="S30" s="100"/>
      <c r="T30" s="100"/>
      <c r="U30" s="100"/>
      <c r="V30" s="100"/>
      <c r="W30" s="100"/>
      <c r="X30" s="100"/>
      <c r="Y30" s="100"/>
      <c r="Z30" s="100"/>
      <c r="AA30" s="100"/>
      <c r="AB30" s="200">
        <v>0</v>
      </c>
      <c r="AC30" s="100"/>
      <c r="AD30" s="101"/>
      <c r="AE30" s="34"/>
    </row>
    <row r="31" spans="1:31" x14ac:dyDescent="0.25">
      <c r="A31" s="34"/>
      <c r="B31" s="50" t="s">
        <v>94</v>
      </c>
      <c r="C31" s="34">
        <f>100/(IF($J$36="Yes",1,0)+1)*(IF($J$39="Yes",1,0)+1)</f>
        <v>100</v>
      </c>
      <c r="D31" s="34">
        <f t="shared" si="2"/>
        <v>50</v>
      </c>
      <c r="E31" s="25">
        <f t="shared" si="3"/>
        <v>50</v>
      </c>
      <c r="F31" s="46">
        <f t="shared" si="0"/>
        <v>25</v>
      </c>
      <c r="G31" s="26">
        <f t="shared" si="4"/>
        <v>6</v>
      </c>
      <c r="H31" s="27">
        <f t="shared" si="5"/>
        <v>100</v>
      </c>
      <c r="I31" s="138">
        <f t="shared" si="6"/>
        <v>25</v>
      </c>
      <c r="J31" s="28">
        <f t="shared" si="7"/>
        <v>34</v>
      </c>
      <c r="K31" s="126">
        <f t="shared" si="8"/>
        <v>4</v>
      </c>
      <c r="L31" s="50" t="str">
        <f t="shared" si="1"/>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95</v>
      </c>
      <c r="C32" s="113">
        <f>60/(IF($J$36="Yes",1,0)+1)*(IF($J$39="Yes",1,0)+1)</f>
        <v>60</v>
      </c>
      <c r="D32" s="113">
        <f t="shared" si="2"/>
        <v>30</v>
      </c>
      <c r="E32" s="29">
        <f t="shared" si="3"/>
        <v>30</v>
      </c>
      <c r="F32" s="48">
        <f t="shared" si="0"/>
        <v>15</v>
      </c>
      <c r="G32" s="119">
        <f t="shared" si="4"/>
        <v>4</v>
      </c>
      <c r="H32" s="120">
        <f t="shared" si="5"/>
        <v>60</v>
      </c>
      <c r="I32" s="30">
        <f t="shared" si="6"/>
        <v>15</v>
      </c>
      <c r="J32" s="124">
        <f t="shared" si="7"/>
        <v>20</v>
      </c>
      <c r="K32" s="49">
        <f t="shared" si="8"/>
        <v>2</v>
      </c>
      <c r="L32" s="129" t="str">
        <f t="shared" si="1"/>
        <v>Bartoli's Monk</v>
      </c>
      <c r="M32" s="47"/>
      <c r="N32" s="34"/>
      <c r="O32" s="100"/>
      <c r="P32" s="100"/>
      <c r="Q32" s="100"/>
      <c r="R32" s="100"/>
      <c r="S32" s="100"/>
      <c r="T32" s="100"/>
      <c r="U32" s="100"/>
      <c r="V32" s="100"/>
      <c r="W32" s="100"/>
      <c r="X32" s="100"/>
      <c r="Y32" s="100"/>
      <c r="Z32" s="100"/>
      <c r="AA32" s="100"/>
      <c r="AB32" s="200">
        <v>0</v>
      </c>
      <c r="AC32" s="200">
        <v>1</v>
      </c>
      <c r="AD32" s="101"/>
      <c r="AE32" s="34"/>
    </row>
    <row r="33" spans="1:31" x14ac:dyDescent="0.25">
      <c r="A33" s="34"/>
      <c r="B33" s="51" t="s">
        <v>54</v>
      </c>
      <c r="C33" s="52">
        <f>300/(IF($J$36="Yes",1,0)+1)*(IF($J$39="Yes",1,0)+1)</f>
        <v>300</v>
      </c>
      <c r="D33" s="53">
        <f t="shared" si="2"/>
        <v>150</v>
      </c>
      <c r="E33" s="54">
        <f t="shared" si="3"/>
        <v>150</v>
      </c>
      <c r="F33" s="55">
        <f t="shared" si="0"/>
        <v>75</v>
      </c>
      <c r="G33" s="56">
        <f t="shared" si="4"/>
        <v>17</v>
      </c>
      <c r="H33" s="57">
        <f t="shared" si="5"/>
        <v>300</v>
      </c>
      <c r="I33" s="139">
        <f t="shared" si="6"/>
        <v>75</v>
      </c>
      <c r="J33" s="58">
        <f t="shared" si="7"/>
        <v>100</v>
      </c>
      <c r="K33" s="127">
        <f t="shared" si="8"/>
        <v>10</v>
      </c>
      <c r="L33" s="130" t="str">
        <f t="shared" si="1"/>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82" t="s">
        <v>99</v>
      </c>
      <c r="M34" s="202" t="s">
        <v>132</v>
      </c>
      <c r="N34" s="203" t="s">
        <v>132</v>
      </c>
      <c r="O34" s="203" t="s">
        <v>132</v>
      </c>
      <c r="P34" s="203" t="s">
        <v>132</v>
      </c>
      <c r="Q34" s="203" t="s">
        <v>132</v>
      </c>
      <c r="R34" s="203" t="s">
        <v>132</v>
      </c>
      <c r="S34" s="203" t="s">
        <v>132</v>
      </c>
      <c r="T34" s="203" t="s">
        <v>132</v>
      </c>
      <c r="U34" s="203" t="s">
        <v>132</v>
      </c>
      <c r="V34" s="203" t="s">
        <v>132</v>
      </c>
      <c r="W34" s="203" t="s">
        <v>132</v>
      </c>
      <c r="X34" s="203" t="s">
        <v>132</v>
      </c>
      <c r="Y34" s="203" t="s">
        <v>132</v>
      </c>
      <c r="Z34" s="203" t="s">
        <v>132</v>
      </c>
      <c r="AA34" s="203" t="s">
        <v>132</v>
      </c>
      <c r="AB34" s="203" t="s">
        <v>132</v>
      </c>
      <c r="AC34" s="203" t="s">
        <v>100</v>
      </c>
      <c r="AD34" s="204" t="s">
        <v>100</v>
      </c>
      <c r="AE34" s="34"/>
    </row>
    <row r="35" spans="1:31" ht="15.75" customHeight="1" x14ac:dyDescent="0.25">
      <c r="A35" s="59"/>
      <c r="B35" s="368" t="s">
        <v>101</v>
      </c>
      <c r="C35" s="109" t="s">
        <v>15</v>
      </c>
      <c r="D35" s="61" t="s">
        <v>16</v>
      </c>
      <c r="E35" s="62" t="s">
        <v>155</v>
      </c>
      <c r="F35" s="63" t="s">
        <v>35</v>
      </c>
      <c r="G35" s="64" t="s">
        <v>20</v>
      </c>
      <c r="H35" s="128" t="s">
        <v>38</v>
      </c>
      <c r="I35" s="34"/>
      <c r="J35" s="177" t="s">
        <v>102</v>
      </c>
      <c r="K35" s="34"/>
      <c r="L35" s="65" t="s">
        <v>103</v>
      </c>
      <c r="M35" s="376" t="s">
        <v>104</v>
      </c>
      <c r="N35" s="333"/>
      <c r="O35" s="333"/>
      <c r="P35" s="333"/>
      <c r="Q35" s="333"/>
      <c r="R35" s="333"/>
      <c r="S35" s="333"/>
      <c r="T35" s="333"/>
      <c r="U35" s="333"/>
      <c r="V35" s="333"/>
      <c r="W35" s="333"/>
      <c r="X35" s="333"/>
      <c r="Y35" s="333"/>
      <c r="Z35" s="333"/>
      <c r="AA35" s="333"/>
      <c r="AB35" s="333"/>
      <c r="AC35" s="333"/>
      <c r="AD35" s="334"/>
      <c r="AE35" s="34"/>
    </row>
    <row r="36" spans="1:31" x14ac:dyDescent="0.25">
      <c r="A36" s="59"/>
      <c r="B36" s="339"/>
      <c r="C36" s="29">
        <v>40</v>
      </c>
      <c r="D36" s="118">
        <v>2</v>
      </c>
      <c r="E36" s="122">
        <v>80</v>
      </c>
      <c r="F36" s="66">
        <v>3</v>
      </c>
      <c r="G36" s="131">
        <v>40</v>
      </c>
      <c r="H36" s="67">
        <v>2</v>
      </c>
      <c r="I36" s="34"/>
      <c r="J36" s="178" t="s">
        <v>132</v>
      </c>
      <c r="K36" s="34"/>
      <c r="L36" s="68" t="s">
        <v>105</v>
      </c>
      <c r="M36" s="69">
        <f>M5*$D$5+M6*$D$6+M7*$D$7+M8*$D$8</f>
        <v>0</v>
      </c>
      <c r="N36" s="69">
        <f t="shared" ref="N36:O36" si="9">N9*$D$9+N10*$D$10+N11*$D$11+N12*$D$12</f>
        <v>10</v>
      </c>
      <c r="O36" s="69">
        <f t="shared" si="9"/>
        <v>74</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40</v>
      </c>
      <c r="V36" s="69">
        <f>V11*$D$11+V14*$D$14+V16*$D$16+V17*$D$17+V18*$D$18+V19*$D$19</f>
        <v>61</v>
      </c>
      <c r="W36" s="69">
        <f>W21*$D$21+W22*$D$22+W23*$D$23+W28*$D$28</f>
        <v>60</v>
      </c>
      <c r="X36" s="69">
        <f>X6*$D$6+X20*$D$20+X21*$D$21+X24*$D$24</f>
        <v>48</v>
      </c>
      <c r="Y36" s="69">
        <f>Y20*$D$20+Y21*$D$21+Y23*$D$23+Y25*$D$25+Y26*$D$26</f>
        <v>68</v>
      </c>
      <c r="Z36" s="69">
        <f>Z5*$D$5+Z25*$D$25+Z26*$D$26+Z27*$D$27</f>
        <v>145</v>
      </c>
      <c r="AA36" s="69">
        <f>AA5*$D$5+AA7*$D$7+AA25*$D$25+AA28*$D$28+AA29*$D$29</f>
        <v>20</v>
      </c>
      <c r="AB36" s="69">
        <f>AB30*$D$30+AB31*$D$31+AB32*$D$32</f>
        <v>0</v>
      </c>
      <c r="AC36" s="69">
        <f>AC31*$D$31+AC32*$D$32+AC33*$D$33</f>
        <v>230</v>
      </c>
      <c r="AD36" s="70" t="s">
        <v>100</v>
      </c>
      <c r="AE36" s="34"/>
    </row>
    <row r="37" spans="1:31" x14ac:dyDescent="0.25">
      <c r="A37" s="34"/>
      <c r="B37" s="369" t="s">
        <v>106</v>
      </c>
      <c r="C37" s="366"/>
      <c r="D37" s="366"/>
      <c r="E37" s="366"/>
      <c r="F37" s="366"/>
      <c r="G37" s="366"/>
      <c r="H37" s="367"/>
      <c r="I37" s="34"/>
      <c r="J37" s="71"/>
      <c r="K37" s="34"/>
      <c r="L37" s="72" t="s">
        <v>107</v>
      </c>
      <c r="M37" s="46" t="s">
        <v>100</v>
      </c>
      <c r="N37" s="46">
        <v>0</v>
      </c>
      <c r="O37" s="46">
        <v>0</v>
      </c>
      <c r="P37" s="46">
        <v>0</v>
      </c>
      <c r="Q37" s="46">
        <f>F10*1+F11*1+F15</f>
        <v>15</v>
      </c>
      <c r="R37" s="46">
        <f>F10*4+F11*2+F14*2+F15*3+F16*1</f>
        <v>60</v>
      </c>
      <c r="S37" s="46">
        <v>0</v>
      </c>
      <c r="T37" s="46">
        <f>F11</f>
        <v>7</v>
      </c>
      <c r="U37" s="46">
        <f>1*F11+2*F14</f>
        <v>21</v>
      </c>
      <c r="V37" s="46">
        <v>0</v>
      </c>
      <c r="W37" s="46">
        <f>1*F28</f>
        <v>5</v>
      </c>
      <c r="X37" s="46">
        <v>0</v>
      </c>
      <c r="Y37" s="46">
        <v>0</v>
      </c>
      <c r="Z37" s="46">
        <v>0</v>
      </c>
      <c r="AA37" s="46">
        <v>0</v>
      </c>
      <c r="AB37" s="46">
        <v>0</v>
      </c>
      <c r="AC37" s="46">
        <v>0</v>
      </c>
      <c r="AD37" s="73" t="s">
        <v>100</v>
      </c>
      <c r="AE37" s="34"/>
    </row>
    <row r="38" spans="1:31" x14ac:dyDescent="0.25">
      <c r="A38" s="34"/>
      <c r="B38" s="365" t="s">
        <v>108</v>
      </c>
      <c r="C38" s="366"/>
      <c r="D38" s="366"/>
      <c r="E38" s="366"/>
      <c r="F38" s="366"/>
      <c r="G38" s="366"/>
      <c r="H38" s="367"/>
      <c r="I38" s="34"/>
      <c r="J38" s="177" t="s">
        <v>109</v>
      </c>
      <c r="K38" s="34"/>
      <c r="L38" s="26" t="s">
        <v>110</v>
      </c>
      <c r="M38" s="74">
        <v>0</v>
      </c>
      <c r="N38" s="74">
        <f>1*G10</f>
        <v>1</v>
      </c>
      <c r="O38" s="74">
        <f>2*G11+G10</f>
        <v>5</v>
      </c>
      <c r="P38" s="74">
        <v>0</v>
      </c>
      <c r="Q38" s="74">
        <v>0</v>
      </c>
      <c r="R38" s="74">
        <v>0</v>
      </c>
      <c r="S38" s="74">
        <v>0</v>
      </c>
      <c r="T38" s="74">
        <v>0</v>
      </c>
      <c r="U38" s="74">
        <v>0</v>
      </c>
      <c r="V38" s="74">
        <v>0</v>
      </c>
      <c r="W38" s="74">
        <v>0</v>
      </c>
      <c r="X38" s="74">
        <v>0</v>
      </c>
      <c r="Y38" s="74">
        <v>0</v>
      </c>
      <c r="Z38" s="74">
        <v>0</v>
      </c>
      <c r="AA38" s="74">
        <v>0</v>
      </c>
      <c r="AB38" s="74">
        <v>0</v>
      </c>
      <c r="AC38" s="74">
        <v>0</v>
      </c>
      <c r="AD38" s="75">
        <f>AD10+(AD11+AD12)*2+9</f>
        <v>35</v>
      </c>
      <c r="AE38" s="34"/>
    </row>
    <row r="39" spans="1:31" x14ac:dyDescent="0.25">
      <c r="A39" s="34"/>
      <c r="B39" s="365" t="s">
        <v>137</v>
      </c>
      <c r="C39" s="366"/>
      <c r="D39" s="366"/>
      <c r="E39" s="366"/>
      <c r="F39" s="366"/>
      <c r="G39" s="366"/>
      <c r="H39" s="367"/>
      <c r="I39" s="34"/>
      <c r="J39" s="178" t="s">
        <v>132</v>
      </c>
      <c r="K39" s="34"/>
      <c r="L39" s="76" t="s">
        <v>111</v>
      </c>
      <c r="M39" s="77" t="s">
        <v>100</v>
      </c>
      <c r="N39" s="77" t="s">
        <v>100</v>
      </c>
      <c r="O39" s="77">
        <v>0</v>
      </c>
      <c r="P39" s="77">
        <v>0</v>
      </c>
      <c r="Q39" s="77" t="str">
        <f>IF($Q$34="No","--",0)</f>
        <v>--</v>
      </c>
      <c r="R39" s="77">
        <v>0</v>
      </c>
      <c r="S39" s="77">
        <v>0</v>
      </c>
      <c r="T39" s="77">
        <v>0</v>
      </c>
      <c r="U39" s="77">
        <v>0</v>
      </c>
      <c r="V39" s="77">
        <v>0</v>
      </c>
      <c r="W39" s="77">
        <v>0</v>
      </c>
      <c r="X39" s="77">
        <v>0</v>
      </c>
      <c r="Y39" s="77">
        <v>0</v>
      </c>
      <c r="Z39" s="77">
        <v>0</v>
      </c>
      <c r="AA39" s="77">
        <f>AA28*H28</f>
        <v>40</v>
      </c>
      <c r="AB39" s="77">
        <v>0</v>
      </c>
      <c r="AC39" s="77">
        <v>0</v>
      </c>
      <c r="AD39" s="78" t="s">
        <v>100</v>
      </c>
      <c r="AE39" s="34"/>
    </row>
    <row r="40" spans="1:31" x14ac:dyDescent="0.25">
      <c r="A40" s="34"/>
      <c r="B40" s="365" t="s">
        <v>112</v>
      </c>
      <c r="C40" s="366"/>
      <c r="D40" s="366"/>
      <c r="E40" s="366"/>
      <c r="F40" s="366"/>
      <c r="G40" s="366"/>
      <c r="H40" s="367"/>
      <c r="I40" s="34"/>
      <c r="J40" s="34"/>
      <c r="K40" s="34"/>
      <c r="L40" s="254" t="s">
        <v>35</v>
      </c>
      <c r="M40" s="255" t="s">
        <v>100</v>
      </c>
      <c r="N40" s="255" t="s">
        <v>100</v>
      </c>
      <c r="O40" s="255" t="s">
        <v>100</v>
      </c>
      <c r="P40" s="255" t="s">
        <v>100</v>
      </c>
      <c r="Q40" s="255">
        <v>0</v>
      </c>
      <c r="R40" s="255">
        <v>0</v>
      </c>
      <c r="S40" s="255">
        <v>0</v>
      </c>
      <c r="T40" s="255">
        <v>0</v>
      </c>
      <c r="U40" s="255">
        <v>0</v>
      </c>
      <c r="V40" s="255">
        <v>0</v>
      </c>
      <c r="W40" s="255">
        <v>0</v>
      </c>
      <c r="X40" s="255">
        <v>0</v>
      </c>
      <c r="Y40" s="255">
        <v>0</v>
      </c>
      <c r="Z40" s="255">
        <v>0</v>
      </c>
      <c r="AA40" s="255">
        <v>0</v>
      </c>
      <c r="AB40" s="255">
        <v>0</v>
      </c>
      <c r="AC40" s="255">
        <v>0</v>
      </c>
      <c r="AD40" s="256" t="s">
        <v>100</v>
      </c>
      <c r="AE40" s="34"/>
    </row>
    <row r="41" spans="1:31" x14ac:dyDescent="0.25">
      <c r="A41" s="34"/>
      <c r="B41" s="358" t="s">
        <v>119</v>
      </c>
      <c r="C41" s="359"/>
      <c r="D41" s="359"/>
      <c r="E41" s="359"/>
      <c r="F41" s="359"/>
      <c r="G41" s="359"/>
      <c r="H41" s="360"/>
      <c r="I41" s="34"/>
      <c r="J41" s="34"/>
      <c r="K41" s="34"/>
      <c r="L41" s="80" t="s">
        <v>113</v>
      </c>
      <c r="M41" s="81" t="s">
        <v>100</v>
      </c>
      <c r="N41" s="81" t="s">
        <v>100</v>
      </c>
      <c r="O41" s="81" t="s">
        <v>100</v>
      </c>
      <c r="P41" s="81" t="s">
        <v>100</v>
      </c>
      <c r="Q41" s="81" t="s">
        <v>100</v>
      </c>
      <c r="R41" s="81">
        <v>0</v>
      </c>
      <c r="S41" s="82">
        <v>0</v>
      </c>
      <c r="T41" s="82">
        <f>1*J11+1*J14+1*J15</f>
        <v>25</v>
      </c>
      <c r="U41" s="82">
        <v>0</v>
      </c>
      <c r="V41" s="82">
        <f>1*J14+2*J11+2*J16</f>
        <v>41</v>
      </c>
      <c r="W41" s="82">
        <f>1*J22</f>
        <v>34</v>
      </c>
      <c r="X41" s="82">
        <f>J20+J21*2</f>
        <v>49</v>
      </c>
      <c r="Y41" s="82">
        <f>J20+J21+2*J23</f>
        <v>46</v>
      </c>
      <c r="Z41" s="82">
        <f>3*J5+J27</f>
        <v>88</v>
      </c>
      <c r="AA41" s="82">
        <v>0</v>
      </c>
      <c r="AB41" s="82">
        <v>0</v>
      </c>
      <c r="AC41" s="82">
        <f>1*J31+J32</f>
        <v>54</v>
      </c>
      <c r="AD41" s="83" t="s">
        <v>100</v>
      </c>
      <c r="AE41" s="34"/>
    </row>
    <row r="42" spans="1:31" ht="15.75" customHeight="1" x14ac:dyDescent="0.25">
      <c r="A42" s="59"/>
      <c r="B42" s="345" t="s">
        <v>147</v>
      </c>
      <c r="C42" s="346"/>
      <c r="D42" s="346"/>
      <c r="E42" s="346"/>
      <c r="F42" s="346"/>
      <c r="G42" s="346"/>
      <c r="H42" s="347"/>
      <c r="I42" s="34"/>
      <c r="J42" s="34"/>
      <c r="K42" s="34"/>
      <c r="L42" s="140" t="s">
        <v>38</v>
      </c>
      <c r="M42" s="141" t="str">
        <f>IF(M$34="No","--",0)</f>
        <v>--</v>
      </c>
      <c r="N42" s="141" t="str">
        <f>IF($M$34="No","--",0)</f>
        <v>--</v>
      </c>
      <c r="O42" s="141" t="str">
        <f>IF($M$34="No","--",0)</f>
        <v>--</v>
      </c>
      <c r="P42" s="141">
        <v>0</v>
      </c>
      <c r="Q42" s="141" t="s">
        <v>100</v>
      </c>
      <c r="R42" s="141" t="s">
        <v>100</v>
      </c>
      <c r="S42" s="141" t="s">
        <v>100</v>
      </c>
      <c r="T42" s="141" t="str">
        <f>IF(T$34="No","--",0)</f>
        <v>--</v>
      </c>
      <c r="U42" s="141" t="str">
        <f>IF($T$34="No","--",0)</f>
        <v>--</v>
      </c>
      <c r="V42" s="141">
        <v>0</v>
      </c>
      <c r="W42" s="141">
        <v>0</v>
      </c>
      <c r="X42" s="141">
        <v>0</v>
      </c>
      <c r="Y42" s="141">
        <v>0</v>
      </c>
      <c r="Z42" s="141">
        <v>0</v>
      </c>
      <c r="AA42" s="141">
        <v>0</v>
      </c>
      <c r="AB42" s="141">
        <v>0</v>
      </c>
      <c r="AC42" s="142">
        <f>K33</f>
        <v>10</v>
      </c>
      <c r="AD42" s="143" t="s">
        <v>100</v>
      </c>
      <c r="AE42" s="34"/>
    </row>
    <row r="43" spans="1:31" x14ac:dyDescent="0.25">
      <c r="A43" s="59"/>
      <c r="B43" s="348"/>
      <c r="C43" s="349"/>
      <c r="D43" s="349"/>
      <c r="E43" s="349"/>
      <c r="F43" s="349"/>
      <c r="G43" s="349"/>
      <c r="H43" s="350"/>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8"/>
      <c r="C44" s="349"/>
      <c r="D44" s="349"/>
      <c r="E44" s="349"/>
      <c r="F44" s="349"/>
      <c r="G44" s="349"/>
      <c r="H44" s="350"/>
      <c r="I44" s="34"/>
      <c r="J44" s="34"/>
      <c r="K44" s="34"/>
      <c r="L44" s="338" t="s">
        <v>7</v>
      </c>
      <c r="M44" s="341" t="s">
        <v>114</v>
      </c>
      <c r="N44" s="342"/>
      <c r="O44" s="342"/>
      <c r="P44" s="342"/>
      <c r="Q44" s="342"/>
      <c r="R44" s="342"/>
      <c r="S44" s="342"/>
      <c r="T44" s="342"/>
      <c r="U44" s="342"/>
      <c r="V44" s="342"/>
      <c r="W44" s="342"/>
      <c r="X44" s="342"/>
      <c r="Y44" s="342"/>
      <c r="Z44" s="342"/>
      <c r="AA44" s="342"/>
      <c r="AB44" s="342"/>
      <c r="AC44" s="342"/>
      <c r="AD44" s="343"/>
      <c r="AE44" s="34"/>
    </row>
    <row r="45" spans="1:31" x14ac:dyDescent="0.25">
      <c r="A45" s="59"/>
      <c r="B45" s="348"/>
      <c r="C45" s="349"/>
      <c r="D45" s="349"/>
      <c r="E45" s="349"/>
      <c r="F45" s="349"/>
      <c r="G45" s="349"/>
      <c r="H45" s="350"/>
      <c r="I45" s="34"/>
      <c r="J45" s="34"/>
      <c r="K45" s="34"/>
      <c r="L45" s="339"/>
      <c r="M45" s="337" t="s">
        <v>15</v>
      </c>
      <c r="N45" s="319"/>
      <c r="O45" s="319"/>
      <c r="P45" s="340" t="s">
        <v>16</v>
      </c>
      <c r="Q45" s="319"/>
      <c r="R45" s="319"/>
      <c r="S45" s="344" t="s">
        <v>17</v>
      </c>
      <c r="T45" s="319"/>
      <c r="U45" s="319"/>
      <c r="V45" s="370" t="s">
        <v>35</v>
      </c>
      <c r="W45" s="371"/>
      <c r="X45" s="372"/>
      <c r="Y45" s="336" t="s">
        <v>20</v>
      </c>
      <c r="Z45" s="319"/>
      <c r="AA45" s="319"/>
      <c r="AB45" s="373" t="s">
        <v>38</v>
      </c>
      <c r="AC45" s="374"/>
      <c r="AD45" s="375"/>
      <c r="AE45" s="34"/>
    </row>
    <row r="46" spans="1:31" x14ac:dyDescent="0.25">
      <c r="A46" s="59"/>
      <c r="B46" s="348"/>
      <c r="C46" s="349"/>
      <c r="D46" s="349"/>
      <c r="E46" s="349"/>
      <c r="F46" s="349"/>
      <c r="G46" s="349"/>
      <c r="H46" s="350"/>
      <c r="I46" s="34"/>
      <c r="J46" s="34"/>
      <c r="K46" s="34"/>
      <c r="L46" s="339"/>
      <c r="M46" s="208" t="s">
        <v>115</v>
      </c>
      <c r="N46" s="209" t="s">
        <v>36</v>
      </c>
      <c r="O46" s="209" t="s">
        <v>116</v>
      </c>
      <c r="P46" s="118" t="s">
        <v>115</v>
      </c>
      <c r="Q46" s="210" t="s">
        <v>36</v>
      </c>
      <c r="R46" s="133" t="s">
        <v>116</v>
      </c>
      <c r="S46" s="211" t="s">
        <v>115</v>
      </c>
      <c r="T46" s="211" t="s">
        <v>36</v>
      </c>
      <c r="U46" s="211" t="s">
        <v>116</v>
      </c>
      <c r="V46" s="93" t="s">
        <v>115</v>
      </c>
      <c r="W46" s="144" t="s">
        <v>36</v>
      </c>
      <c r="X46" s="66" t="s">
        <v>116</v>
      </c>
      <c r="Y46" s="212" t="s">
        <v>115</v>
      </c>
      <c r="Z46" s="212" t="s">
        <v>36</v>
      </c>
      <c r="AA46" s="212" t="s">
        <v>116</v>
      </c>
      <c r="AB46" s="84" t="s">
        <v>115</v>
      </c>
      <c r="AC46" s="213" t="s">
        <v>36</v>
      </c>
      <c r="AD46" s="214" t="s">
        <v>116</v>
      </c>
      <c r="AE46" s="34"/>
    </row>
    <row r="47" spans="1:31" x14ac:dyDescent="0.25">
      <c r="A47" s="59"/>
      <c r="B47" s="348"/>
      <c r="C47" s="349"/>
      <c r="D47" s="349"/>
      <c r="E47" s="349"/>
      <c r="F47" s="349"/>
      <c r="G47" s="349"/>
      <c r="H47" s="350"/>
      <c r="I47" s="34"/>
      <c r="J47" s="34"/>
      <c r="K47" s="34"/>
      <c r="L47" s="85" t="str">
        <f>M4</f>
        <v>Great Wall</v>
      </c>
      <c r="M47" s="215" t="str">
        <f>M37</f>
        <v>--</v>
      </c>
      <c r="N47" s="86">
        <v>0</v>
      </c>
      <c r="O47" s="86">
        <f>IF(ISNUMBER(N47),N47*$C$36,0)-IF(ISNUMBER(M47),M47,0)</f>
        <v>0</v>
      </c>
      <c r="P47" s="61">
        <f>M38</f>
        <v>0</v>
      </c>
      <c r="Q47" s="87">
        <v>1</v>
      </c>
      <c r="R47" s="88">
        <f>2+IF(ISNUMBER(Q47),Q47*$D$36,0)-IF(ISNUMBER(P47),P47,0)</f>
        <v>4</v>
      </c>
      <c r="S47" s="89" t="str">
        <f>M39</f>
        <v>--</v>
      </c>
      <c r="T47" s="89" t="s">
        <v>100</v>
      </c>
      <c r="U47" s="89" t="s">
        <v>100</v>
      </c>
      <c r="V47" s="90" t="s">
        <v>100</v>
      </c>
      <c r="W47" s="110" t="s">
        <v>100</v>
      </c>
      <c r="X47" s="63" t="s">
        <v>100</v>
      </c>
      <c r="Y47" s="91" t="s">
        <v>100</v>
      </c>
      <c r="Z47" s="91" t="s">
        <v>100</v>
      </c>
      <c r="AA47" s="91" t="s">
        <v>100</v>
      </c>
      <c r="AB47" s="134" t="str">
        <f>M42</f>
        <v>--</v>
      </c>
      <c r="AC47" s="135">
        <v>0</v>
      </c>
      <c r="AD47" s="216">
        <f>IF(ISNUMBER(AC47),AC47*$H$36,0)-IF(ISNUMBER(AB47),AB47,0)+IF(M$34="Yes",6,0)</f>
        <v>0</v>
      </c>
      <c r="AE47" s="34"/>
    </row>
    <row r="48" spans="1:31" x14ac:dyDescent="0.25">
      <c r="A48" s="59"/>
      <c r="B48" s="351"/>
      <c r="C48" s="352"/>
      <c r="D48" s="352"/>
      <c r="E48" s="352"/>
      <c r="F48" s="352"/>
      <c r="G48" s="352"/>
      <c r="H48" s="353"/>
      <c r="I48" s="34"/>
      <c r="J48" s="34"/>
      <c r="K48" s="34"/>
      <c r="L48" s="92" t="str">
        <f>N4</f>
        <v>Venice</v>
      </c>
      <c r="M48" s="208">
        <f>N37*2</f>
        <v>0</v>
      </c>
      <c r="N48" s="209">
        <v>0</v>
      </c>
      <c r="O48" s="209">
        <f>O47+IF(ISNUMBER(N48),N48*$C$36,0)-IF(ISNUMBER(M48),M48,0)+IF(N$34="Yes",160,0)</f>
        <v>0</v>
      </c>
      <c r="P48" s="118">
        <f>N38</f>
        <v>1</v>
      </c>
      <c r="Q48" s="210">
        <v>0</v>
      </c>
      <c r="R48" s="133">
        <f>R47+IF(ISNUMBER(Q48),Q48*$D$36,0)-IF(ISNUMBER(P48),P48,0)</f>
        <v>3</v>
      </c>
      <c r="S48" s="211" t="str">
        <f>N39</f>
        <v>--</v>
      </c>
      <c r="T48" s="211">
        <v>0</v>
      </c>
      <c r="U48" s="211">
        <f>IF(ISNUMBER(T48),T48*$E$36,0)-IF(ISNUMBER(S48),S48,0)</f>
        <v>0</v>
      </c>
      <c r="V48" s="93" t="s">
        <v>100</v>
      </c>
      <c r="W48" s="144" t="s">
        <v>100</v>
      </c>
      <c r="X48" s="66" t="s">
        <v>100</v>
      </c>
      <c r="Y48" s="212" t="s">
        <v>100</v>
      </c>
      <c r="Z48" s="212">
        <v>0</v>
      </c>
      <c r="AA48" s="212">
        <f>IF(ISNUMBER(Z48),Z48*$G$36,0)-IF(ISNUMBER(Y48),Y48,0)</f>
        <v>0</v>
      </c>
      <c r="AB48" s="84" t="str">
        <f>N42</f>
        <v>--</v>
      </c>
      <c r="AC48" s="213" t="s">
        <v>100</v>
      </c>
      <c r="AD48" s="214">
        <f>AD47+IF(ISNUMBER(AC48),AC48*$H$36,0)-IF(ISNUMBER(AB48),AB48,0)</f>
        <v>0</v>
      </c>
      <c r="AE48" s="34"/>
    </row>
    <row r="49" spans="1:31" x14ac:dyDescent="0.25">
      <c r="A49" s="34"/>
      <c r="B49" s="34"/>
      <c r="C49" s="34"/>
      <c r="D49" s="34"/>
      <c r="E49" s="34"/>
      <c r="F49" s="34"/>
      <c r="G49" s="34"/>
      <c r="H49" s="34"/>
      <c r="I49" s="34"/>
      <c r="J49" s="34"/>
      <c r="K49" s="34"/>
      <c r="L49" s="94" t="str">
        <f>O4</f>
        <v>Hideout</v>
      </c>
      <c r="M49" s="217">
        <f>O37*2</f>
        <v>0</v>
      </c>
      <c r="N49" s="218">
        <v>0</v>
      </c>
      <c r="O49" s="218">
        <f>O48+IF(ISNUMBER(N49),N49*$C$36,0)-IF(ISNUMBER(M49),M49,0)</f>
        <v>0</v>
      </c>
      <c r="P49" s="95">
        <f>O38</f>
        <v>5</v>
      </c>
      <c r="Q49" s="219">
        <v>1</v>
      </c>
      <c r="R49" s="75">
        <f>R48+IF(ISNUMBER(Q49),Q49*$D$36,0)-IF(ISNUMBER(P49),P49,0)+IF(O$34="Yes",8,0)</f>
        <v>0</v>
      </c>
      <c r="S49" s="220">
        <f>O39</f>
        <v>0</v>
      </c>
      <c r="T49" s="220">
        <v>0</v>
      </c>
      <c r="U49" s="220">
        <f>U48+IF(ISNUMBER(T49),T49*$E$36,0)-IF(ISNUMBER(S49),S49,0)</f>
        <v>0</v>
      </c>
      <c r="V49" s="96" t="s">
        <v>100</v>
      </c>
      <c r="W49" s="221" t="s">
        <v>100</v>
      </c>
      <c r="X49" s="79" t="s">
        <v>100</v>
      </c>
      <c r="Y49" s="222" t="s">
        <v>100</v>
      </c>
      <c r="Z49" s="222" t="s">
        <v>100</v>
      </c>
      <c r="AA49" s="222">
        <f>AA48+IF(ISNUMBER(Z49),Z49*$G$36,0)-IF(ISNUMBER(Y49),Y49,0)</f>
        <v>0</v>
      </c>
      <c r="AB49" s="136" t="str">
        <f>O42</f>
        <v>--</v>
      </c>
      <c r="AC49" s="223">
        <v>0</v>
      </c>
      <c r="AD49" s="224">
        <f t="shared" ref="AD49:AD63" si="10">AD48+IF(ISNUMBER(AC49),AC49*$H$36,0)-IF(ISNUMBER(AB49),AB49,0)</f>
        <v>0</v>
      </c>
      <c r="AE49" s="34"/>
    </row>
    <row r="50" spans="1:31" x14ac:dyDescent="0.25">
      <c r="A50" s="34"/>
      <c r="B50" s="34"/>
      <c r="C50" s="34"/>
      <c r="D50" s="34"/>
      <c r="E50" s="34"/>
      <c r="F50" s="34"/>
      <c r="G50" s="34"/>
      <c r="H50" s="34"/>
      <c r="I50" s="34"/>
      <c r="J50" s="34"/>
      <c r="K50" s="34"/>
      <c r="L50" s="92" t="str">
        <f>P4</f>
        <v>Opera</v>
      </c>
      <c r="M50" s="208">
        <f>P37*2</f>
        <v>0</v>
      </c>
      <c r="N50" s="209">
        <v>0</v>
      </c>
      <c r="O50" s="209">
        <f t="shared" ref="O50:O63" si="11">O49+IF(ISNUMBER(N50),N50*$C$36,0)-IF(ISNUMBER(M50),M50,0)</f>
        <v>0</v>
      </c>
      <c r="P50" s="118">
        <f>P38</f>
        <v>0</v>
      </c>
      <c r="Q50" s="210">
        <v>0</v>
      </c>
      <c r="R50" s="133">
        <f>R49+IF(ISNUMBER(Q50),Q50*$D$36,0)-IF(ISNUMBER(P50),P50,0)</f>
        <v>0</v>
      </c>
      <c r="S50" s="211">
        <f>P39</f>
        <v>0</v>
      </c>
      <c r="T50" s="211">
        <v>0</v>
      </c>
      <c r="U50" s="211">
        <f>U49+IF(ISNUMBER(T50),T50*$E$36,0)-IF(ISNUMBER(S50),S50,0)+IF(P$34="Yes",320,0)</f>
        <v>0</v>
      </c>
      <c r="V50" s="93" t="s">
        <v>100</v>
      </c>
      <c r="W50" s="144" t="s">
        <v>100</v>
      </c>
      <c r="X50" s="66" t="s">
        <v>100</v>
      </c>
      <c r="Y50" s="212" t="s">
        <v>100</v>
      </c>
      <c r="Z50" s="212" t="s">
        <v>100</v>
      </c>
      <c r="AA50" s="212">
        <f t="shared" ref="AA50:AA53" si="12">AA49+IF(ISNUMBER(Z50),Z50*$G$36,0)-IF(ISNUMBER(Y50),Y50,0)</f>
        <v>0</v>
      </c>
      <c r="AB50" s="84">
        <f>P42</f>
        <v>0</v>
      </c>
      <c r="AC50" s="213">
        <v>0</v>
      </c>
      <c r="AD50" s="214">
        <f t="shared" si="10"/>
        <v>0</v>
      </c>
      <c r="AE50" s="34"/>
    </row>
    <row r="51" spans="1:31" x14ac:dyDescent="0.25">
      <c r="A51" s="34"/>
      <c r="B51" s="34"/>
      <c r="C51" s="34"/>
      <c r="D51" s="34"/>
      <c r="E51" s="34"/>
      <c r="F51" s="34"/>
      <c r="G51" s="34"/>
      <c r="H51" s="34"/>
      <c r="I51" s="34"/>
      <c r="J51" s="34"/>
      <c r="K51" s="34"/>
      <c r="L51" s="94" t="str">
        <f>Q4</f>
        <v>Offshore</v>
      </c>
      <c r="M51" s="217">
        <f>Q37*2</f>
        <v>30</v>
      </c>
      <c r="N51" s="218">
        <v>2</v>
      </c>
      <c r="O51" s="218">
        <f t="shared" si="11"/>
        <v>50</v>
      </c>
      <c r="P51" s="95">
        <f>Q38</f>
        <v>0</v>
      </c>
      <c r="Q51" s="219">
        <v>0</v>
      </c>
      <c r="R51" s="75">
        <f t="shared" ref="R51:R63" si="13">R50+IF(ISNUMBER(Q51),Q51*$D$36,0)-IF(ISNUMBER(P51),P51,0)</f>
        <v>0</v>
      </c>
      <c r="S51" s="220" t="str">
        <f>Q39</f>
        <v>--</v>
      </c>
      <c r="T51" s="220">
        <v>0</v>
      </c>
      <c r="U51" s="220">
        <f>U50+IF(ISNUMBER(T51),T51*$E$36,0)-IF(ISNUMBER(S51),S51,0)+IF(Q$34="Yes",240,0)</f>
        <v>0</v>
      </c>
      <c r="V51" s="96">
        <f>Q40</f>
        <v>0</v>
      </c>
      <c r="W51" s="221">
        <v>0</v>
      </c>
      <c r="X51" s="79">
        <f>IF(ISNUMBER(W51),W51*$F$36,0)-IF(ISNUMBER(V51),V51,0)</f>
        <v>0</v>
      </c>
      <c r="Y51" s="222" t="s">
        <v>100</v>
      </c>
      <c r="Z51" s="222" t="s">
        <v>100</v>
      </c>
      <c r="AA51" s="222">
        <f t="shared" si="12"/>
        <v>0</v>
      </c>
      <c r="AB51" s="136" t="s">
        <v>100</v>
      </c>
      <c r="AC51" s="223" t="s">
        <v>100</v>
      </c>
      <c r="AD51" s="224">
        <f t="shared" si="10"/>
        <v>0</v>
      </c>
      <c r="AE51" s="34"/>
    </row>
    <row r="52" spans="1:31" x14ac:dyDescent="0.25">
      <c r="A52" s="34"/>
      <c r="B52" s="34"/>
      <c r="C52" s="34"/>
      <c r="D52" s="34"/>
      <c r="E52" s="34"/>
      <c r="F52" s="34"/>
      <c r="G52" s="34"/>
      <c r="H52" s="34"/>
      <c r="I52" s="34"/>
      <c r="J52" s="34"/>
      <c r="K52" s="34"/>
      <c r="L52" s="92" t="str">
        <f>R4</f>
        <v>Diving</v>
      </c>
      <c r="M52" s="208">
        <f>R37*2</f>
        <v>120</v>
      </c>
      <c r="N52" s="209">
        <v>3</v>
      </c>
      <c r="O52" s="209">
        <f t="shared" si="11"/>
        <v>50</v>
      </c>
      <c r="P52" s="118">
        <f>R38</f>
        <v>0</v>
      </c>
      <c r="Q52" s="210">
        <v>0</v>
      </c>
      <c r="R52" s="133">
        <f t="shared" si="13"/>
        <v>0</v>
      </c>
      <c r="S52" s="211">
        <f>R39</f>
        <v>0</v>
      </c>
      <c r="T52" s="211">
        <v>0</v>
      </c>
      <c r="U52" s="211">
        <f>U51+IF(ISNUMBER(T52),T52*$E$36,0)-IF(ISNUMBER(S52),S52,0)+IF(R$34="Yes",320,0)</f>
        <v>0</v>
      </c>
      <c r="V52" s="93">
        <f>R40</f>
        <v>0</v>
      </c>
      <c r="W52" s="144">
        <v>0</v>
      </c>
      <c r="X52" s="66">
        <f>X51+IF(ISNUMBER(W52),W52*$F$36,0)-IF(ISNUMBER(V52),V52,0)</f>
        <v>0</v>
      </c>
      <c r="Y52" s="212">
        <f>R41</f>
        <v>0</v>
      </c>
      <c r="Z52" s="212">
        <v>4</v>
      </c>
      <c r="AA52" s="212">
        <f t="shared" si="12"/>
        <v>160</v>
      </c>
      <c r="AB52" s="84" t="s">
        <v>100</v>
      </c>
      <c r="AC52" s="213">
        <v>0</v>
      </c>
      <c r="AD52" s="214">
        <f t="shared" si="10"/>
        <v>0</v>
      </c>
      <c r="AE52" s="34"/>
    </row>
    <row r="53" spans="1:31" x14ac:dyDescent="0.25">
      <c r="A53" s="34"/>
      <c r="B53" s="34"/>
      <c r="C53" s="34"/>
      <c r="D53" s="34"/>
      <c r="E53" s="34"/>
      <c r="F53" s="34"/>
      <c r="G53" s="34"/>
      <c r="H53" s="34"/>
      <c r="I53" s="34"/>
      <c r="J53" s="34"/>
      <c r="K53" s="34"/>
      <c r="L53" s="94" t="str">
        <f>S4</f>
        <v>Fathoms</v>
      </c>
      <c r="M53" s="217">
        <f>S37*2</f>
        <v>0</v>
      </c>
      <c r="N53" s="218" t="s">
        <v>100</v>
      </c>
      <c r="O53" s="218">
        <f t="shared" si="11"/>
        <v>50</v>
      </c>
      <c r="P53" s="95">
        <f>S38</f>
        <v>0</v>
      </c>
      <c r="Q53" s="219">
        <v>0</v>
      </c>
      <c r="R53" s="75">
        <f t="shared" si="13"/>
        <v>0</v>
      </c>
      <c r="S53" s="220">
        <f>S39</f>
        <v>0</v>
      </c>
      <c r="T53" s="250" t="s">
        <v>100</v>
      </c>
      <c r="U53" s="220">
        <f>U52+IF(ISNUMBER(T53),T53*$E$36,0)-IF(ISNUMBER(S53),S53,0)</f>
        <v>0</v>
      </c>
      <c r="V53" s="96">
        <f>S40</f>
        <v>0</v>
      </c>
      <c r="W53" s="221">
        <v>0</v>
      </c>
      <c r="X53" s="79">
        <f>X52+IF(ISNUMBER(W53),W53*$F$36,0)-IF(ISNUMBER(V53),V53,0)+IF(S$34="Yes",12,0)</f>
        <v>0</v>
      </c>
      <c r="Y53" s="222">
        <f>S41</f>
        <v>0</v>
      </c>
      <c r="Z53" s="222" t="s">
        <v>100</v>
      </c>
      <c r="AA53" s="222">
        <f t="shared" si="12"/>
        <v>160</v>
      </c>
      <c r="AB53" s="136" t="s">
        <v>100</v>
      </c>
      <c r="AC53" s="223" t="s">
        <v>100</v>
      </c>
      <c r="AD53" s="224">
        <f t="shared" si="10"/>
        <v>0</v>
      </c>
      <c r="AE53" s="34"/>
    </row>
    <row r="54" spans="1:31" x14ac:dyDescent="0.25">
      <c r="A54" s="34"/>
      <c r="B54" s="34"/>
      <c r="C54" s="34"/>
      <c r="D54" s="34"/>
      <c r="E54" s="34"/>
      <c r="F54" s="34"/>
      <c r="G54" s="34"/>
      <c r="H54" s="34"/>
      <c r="I54" s="34"/>
      <c r="J54" s="34"/>
      <c r="K54" s="34"/>
      <c r="L54" s="92" t="str">
        <f>T4</f>
        <v>Maria Doria</v>
      </c>
      <c r="M54" s="208">
        <f>T37*2</f>
        <v>14</v>
      </c>
      <c r="N54" s="209">
        <v>2</v>
      </c>
      <c r="O54" s="209">
        <f t="shared" si="11"/>
        <v>116</v>
      </c>
      <c r="P54" s="118">
        <f>T38</f>
        <v>0</v>
      </c>
      <c r="Q54" s="210">
        <v>0</v>
      </c>
      <c r="R54" s="133">
        <f t="shared" si="13"/>
        <v>0</v>
      </c>
      <c r="S54" s="211">
        <f>T39</f>
        <v>0</v>
      </c>
      <c r="T54" s="211">
        <v>0</v>
      </c>
      <c r="U54" s="211">
        <f>U53+IF(ISNUMBER(T54),T54*$E$36,0)-IF(ISNUMBER(S54),S54,0)</f>
        <v>0</v>
      </c>
      <c r="V54" s="93">
        <f>T40</f>
        <v>0</v>
      </c>
      <c r="W54" s="144">
        <v>0</v>
      </c>
      <c r="X54" s="66">
        <f>X53+IF(ISNUMBER(W54),W54*$F$36,0)-IF(ISNUMBER(V54),V54,0)</f>
        <v>0</v>
      </c>
      <c r="Y54" s="212">
        <f>T41</f>
        <v>25</v>
      </c>
      <c r="Z54" s="212">
        <v>0</v>
      </c>
      <c r="AA54" s="212">
        <f>AA53+IF(ISNUMBER(Z54),Z54*$G$36,0)-IF(ISNUMBER(Y54),Y54,0)</f>
        <v>135</v>
      </c>
      <c r="AB54" s="84" t="str">
        <f>T42</f>
        <v>--</v>
      </c>
      <c r="AC54" s="213">
        <v>0</v>
      </c>
      <c r="AD54" s="214">
        <f>AD53+IF(ISNUMBER(AC54),AC54*$H$36,0)-IF(ISNUMBER(AB54),AB54,0)+IF(T$34="Yes",6,0)</f>
        <v>0</v>
      </c>
      <c r="AE54" s="34"/>
    </row>
    <row r="55" spans="1:31" x14ac:dyDescent="0.25">
      <c r="A55" s="34"/>
      <c r="B55" s="34"/>
      <c r="C55" s="34"/>
      <c r="D55" s="34"/>
      <c r="E55" s="34"/>
      <c r="F55" s="34"/>
      <c r="G55" s="34"/>
      <c r="H55" s="34"/>
      <c r="I55" s="34"/>
      <c r="J55" s="34"/>
      <c r="K55" s="34"/>
      <c r="L55" s="94" t="str">
        <f>U4</f>
        <v>Living</v>
      </c>
      <c r="M55" s="217">
        <f>U37*2</f>
        <v>42</v>
      </c>
      <c r="N55" s="218">
        <v>0</v>
      </c>
      <c r="O55" s="218">
        <f t="shared" si="11"/>
        <v>74</v>
      </c>
      <c r="P55" s="95">
        <f>U38</f>
        <v>0</v>
      </c>
      <c r="Q55" s="219">
        <v>0</v>
      </c>
      <c r="R55" s="75">
        <f t="shared" si="13"/>
        <v>0</v>
      </c>
      <c r="S55" s="220">
        <f>U39</f>
        <v>0</v>
      </c>
      <c r="T55" s="220">
        <v>0</v>
      </c>
      <c r="U55" s="220">
        <f>U54+IF(ISNUMBER(T55),T55*$E$36,0)-IF(ISNUMBER(S55),S55,0)</f>
        <v>0</v>
      </c>
      <c r="V55" s="96">
        <f>U40</f>
        <v>0</v>
      </c>
      <c r="W55" s="221">
        <v>0</v>
      </c>
      <c r="X55" s="79">
        <f t="shared" ref="X55:X63" si="14">X54+IF(ISNUMBER(W55),W55*$F$36,0)-IF(ISNUMBER(V55),V55,0)</f>
        <v>0</v>
      </c>
      <c r="Y55" s="222">
        <f>U41</f>
        <v>0</v>
      </c>
      <c r="Z55" s="222">
        <v>0</v>
      </c>
      <c r="AA55" s="222">
        <f>AA54+IF(ISNUMBER(Z55),Z55*$G$36,0)-IF(ISNUMBER(Y55),Y55,0)+IF(U$34="Yes",160,0)</f>
        <v>135</v>
      </c>
      <c r="AB55" s="136" t="str">
        <f>U42</f>
        <v>--</v>
      </c>
      <c r="AC55" s="223" t="s">
        <v>117</v>
      </c>
      <c r="AD55" s="224">
        <f t="shared" si="10"/>
        <v>0</v>
      </c>
      <c r="AE55" s="34"/>
    </row>
    <row r="56" spans="1:31" x14ac:dyDescent="0.25">
      <c r="A56" s="34"/>
      <c r="B56" s="34"/>
      <c r="C56" s="34"/>
      <c r="D56" s="34"/>
      <c r="E56" s="34"/>
      <c r="F56" s="34"/>
      <c r="G56" s="34"/>
      <c r="H56" s="34"/>
      <c r="I56" s="34"/>
      <c r="J56" s="34"/>
      <c r="K56" s="34"/>
      <c r="L56" s="92" t="str">
        <f>V4</f>
        <v>The Deck</v>
      </c>
      <c r="M56" s="208">
        <f>V37*2</f>
        <v>0</v>
      </c>
      <c r="N56" s="209">
        <v>0</v>
      </c>
      <c r="O56" s="209">
        <f t="shared" si="11"/>
        <v>74</v>
      </c>
      <c r="P56" s="118">
        <f>V38</f>
        <v>0</v>
      </c>
      <c r="Q56" s="210">
        <v>0</v>
      </c>
      <c r="R56" s="133">
        <f t="shared" si="13"/>
        <v>0</v>
      </c>
      <c r="S56" s="211">
        <f>V39</f>
        <v>0</v>
      </c>
      <c r="T56" s="211">
        <v>0</v>
      </c>
      <c r="U56" s="211">
        <f>U55+IF(ISNUMBER(T56),T56*$E$36,0)-IF(ISNUMBER(S56),S56,0)</f>
        <v>0</v>
      </c>
      <c r="V56" s="93">
        <f>V40</f>
        <v>0</v>
      </c>
      <c r="W56" s="144">
        <v>0</v>
      </c>
      <c r="X56" s="66">
        <f t="shared" si="14"/>
        <v>0</v>
      </c>
      <c r="Y56" s="212">
        <f>V41</f>
        <v>41</v>
      </c>
      <c r="Z56" s="212">
        <v>2</v>
      </c>
      <c r="AA56" s="212">
        <f t="shared" ref="AA56:AA57" si="15">AA55+IF(ISNUMBER(Z56),Z56*$G$36,0)-IF(ISNUMBER(Y56),Y56,0)</f>
        <v>174</v>
      </c>
      <c r="AB56" s="84">
        <f>V42</f>
        <v>0</v>
      </c>
      <c r="AC56" s="213">
        <v>2</v>
      </c>
      <c r="AD56" s="214">
        <f>AD55+IF(ISNUMBER(AC56),AC56*$H$36,0)-IF(ISNUMBER(AB56),AB56,0)+IF(V$34="Yes",8,0)</f>
        <v>4</v>
      </c>
      <c r="AE56" s="34"/>
    </row>
    <row r="57" spans="1:31" x14ac:dyDescent="0.25">
      <c r="A57" s="34"/>
      <c r="B57" s="34"/>
      <c r="C57" s="34"/>
      <c r="D57" s="34"/>
      <c r="E57" s="34"/>
      <c r="F57" s="34"/>
      <c r="G57" s="34"/>
      <c r="H57" s="34"/>
      <c r="I57" s="34"/>
      <c r="J57" s="34"/>
      <c r="K57" s="34"/>
      <c r="L57" s="94" t="str">
        <f>W4</f>
        <v>Foothills</v>
      </c>
      <c r="M57" s="217">
        <f>W37*2</f>
        <v>10</v>
      </c>
      <c r="N57" s="218">
        <v>0</v>
      </c>
      <c r="O57" s="218">
        <f t="shared" si="11"/>
        <v>64</v>
      </c>
      <c r="P57" s="95">
        <f>W38</f>
        <v>0</v>
      </c>
      <c r="Q57" s="219">
        <v>0</v>
      </c>
      <c r="R57" s="75">
        <f t="shared" si="13"/>
        <v>0</v>
      </c>
      <c r="S57" s="220">
        <f>W39</f>
        <v>0</v>
      </c>
      <c r="T57" s="220">
        <v>0</v>
      </c>
      <c r="U57" s="220">
        <f>U56+IF(ISNUMBER(T57),T57*$E$36,0)-IF(ISNUMBER(S57),S57,0)+IF(W$34="Yes",320,0)</f>
        <v>0</v>
      </c>
      <c r="V57" s="96">
        <f>W40</f>
        <v>0</v>
      </c>
      <c r="W57" s="221" t="s">
        <v>100</v>
      </c>
      <c r="X57" s="79">
        <f t="shared" si="14"/>
        <v>0</v>
      </c>
      <c r="Y57" s="222">
        <f>W41</f>
        <v>34</v>
      </c>
      <c r="Z57" s="222">
        <v>2</v>
      </c>
      <c r="AA57" s="222">
        <f t="shared" si="15"/>
        <v>220</v>
      </c>
      <c r="AB57" s="136">
        <f>W42</f>
        <v>0</v>
      </c>
      <c r="AC57" s="223">
        <v>2</v>
      </c>
      <c r="AD57" s="224">
        <f t="shared" si="10"/>
        <v>8</v>
      </c>
      <c r="AE57" s="34"/>
    </row>
    <row r="58" spans="1:31" x14ac:dyDescent="0.25">
      <c r="A58" s="34"/>
      <c r="B58" s="34"/>
      <c r="C58" s="34"/>
      <c r="D58" s="34"/>
      <c r="E58" s="34"/>
      <c r="F58" s="34"/>
      <c r="G58" s="34"/>
      <c r="H58" s="34"/>
      <c r="I58" s="34"/>
      <c r="J58" s="34"/>
      <c r="K58" s="34"/>
      <c r="L58" s="92" t="str">
        <f>X4</f>
        <v>Barkhang</v>
      </c>
      <c r="M58" s="208">
        <f>X37*2</f>
        <v>0</v>
      </c>
      <c r="N58" s="209">
        <v>0</v>
      </c>
      <c r="O58" s="209">
        <f t="shared" si="11"/>
        <v>64</v>
      </c>
      <c r="P58" s="118">
        <f>X38</f>
        <v>0</v>
      </c>
      <c r="Q58" s="210">
        <v>0</v>
      </c>
      <c r="R58" s="133">
        <f t="shared" si="13"/>
        <v>0</v>
      </c>
      <c r="S58" s="211">
        <f>X39</f>
        <v>0</v>
      </c>
      <c r="T58" s="211">
        <v>1</v>
      </c>
      <c r="U58" s="211">
        <f>U57+IF(ISNUMBER(T58),T58*$E$36,0)-IF(ISNUMBER(S58),S58,0)</f>
        <v>80</v>
      </c>
      <c r="V58" s="93">
        <f>X40</f>
        <v>0</v>
      </c>
      <c r="W58" s="144">
        <v>0</v>
      </c>
      <c r="X58" s="66">
        <f t="shared" si="14"/>
        <v>0</v>
      </c>
      <c r="Y58" s="212">
        <f>X41</f>
        <v>49</v>
      </c>
      <c r="Z58" s="212">
        <v>1</v>
      </c>
      <c r="AA58" s="212">
        <f>AA57+IF(ISNUMBER(Z58),Z58*$G$36,0)-IF(ISNUMBER(Y58),Y58,0)+IF(X$34="Yes",160,0)</f>
        <v>211</v>
      </c>
      <c r="AB58" s="84">
        <f>X42</f>
        <v>0</v>
      </c>
      <c r="AC58" s="213">
        <v>0</v>
      </c>
      <c r="AD58" s="214">
        <f t="shared" si="10"/>
        <v>8</v>
      </c>
      <c r="AE58" s="34"/>
    </row>
    <row r="59" spans="1:31" x14ac:dyDescent="0.25">
      <c r="A59" s="34"/>
      <c r="B59" s="34"/>
      <c r="C59" s="34"/>
      <c r="D59" s="34"/>
      <c r="E59" s="34"/>
      <c r="F59" s="34"/>
      <c r="G59" s="34"/>
      <c r="H59" s="34"/>
      <c r="I59" s="34"/>
      <c r="J59" s="34"/>
      <c r="K59" s="34"/>
      <c r="L59" s="94" t="str">
        <f>Y4</f>
        <v>Catacombs</v>
      </c>
      <c r="M59" s="217">
        <f>Y37*2</f>
        <v>0</v>
      </c>
      <c r="N59" s="218">
        <v>0</v>
      </c>
      <c r="O59" s="218">
        <f t="shared" si="11"/>
        <v>64</v>
      </c>
      <c r="P59" s="95">
        <f>Y38</f>
        <v>0</v>
      </c>
      <c r="Q59" s="219">
        <v>0</v>
      </c>
      <c r="R59" s="75">
        <f t="shared" si="13"/>
        <v>0</v>
      </c>
      <c r="S59" s="220">
        <f>Y39</f>
        <v>0</v>
      </c>
      <c r="T59" s="220">
        <v>1</v>
      </c>
      <c r="U59" s="220">
        <f>U58+IF(ISNUMBER(T59),T59*$E$36,0)-IF(ISNUMBER(S59),S59,0)</f>
        <v>160</v>
      </c>
      <c r="V59" s="96">
        <f>Y40</f>
        <v>0</v>
      </c>
      <c r="W59" s="221" t="s">
        <v>100</v>
      </c>
      <c r="X59" s="79">
        <f t="shared" si="14"/>
        <v>0</v>
      </c>
      <c r="Y59" s="222">
        <f>Y41</f>
        <v>46</v>
      </c>
      <c r="Z59" s="222">
        <v>0</v>
      </c>
      <c r="AA59" s="222">
        <f>AA58+IF(ISNUMBER(Z59),Z59*$G$36,0)-IF(ISNUMBER(Y59),Y59,0)+IF(Y$34="Yes",80,0)</f>
        <v>165</v>
      </c>
      <c r="AB59" s="136">
        <f>Y42</f>
        <v>0</v>
      </c>
      <c r="AC59" s="223">
        <v>1</v>
      </c>
      <c r="AD59" s="224">
        <f>AD58+IF(ISNUMBER(AC59),AC59*$H$36,0)-IF(ISNUMBER(AB59),AB59,0)+IF(Y$34="Yes",4,0)</f>
        <v>10</v>
      </c>
      <c r="AE59" s="34"/>
    </row>
    <row r="60" spans="1:31" x14ac:dyDescent="0.25">
      <c r="A60" s="34"/>
      <c r="B60" s="34"/>
      <c r="C60" s="34"/>
      <c r="D60" s="34"/>
      <c r="E60" s="34"/>
      <c r="F60" s="34"/>
      <c r="G60" s="34"/>
      <c r="H60" s="34"/>
      <c r="I60" s="34"/>
      <c r="J60" s="34"/>
      <c r="K60" s="34"/>
      <c r="L60" s="92" t="str">
        <f>Z4</f>
        <v>Ice Palace</v>
      </c>
      <c r="M60" s="208">
        <f>Z37*2</f>
        <v>0</v>
      </c>
      <c r="N60" s="209">
        <v>0</v>
      </c>
      <c r="O60" s="209">
        <f t="shared" si="11"/>
        <v>64</v>
      </c>
      <c r="P60" s="118">
        <f>Z38</f>
        <v>0</v>
      </c>
      <c r="Q60" s="210">
        <v>0</v>
      </c>
      <c r="R60" s="133">
        <f t="shared" si="13"/>
        <v>0</v>
      </c>
      <c r="S60" s="211">
        <f>Z39+20</f>
        <v>20</v>
      </c>
      <c r="T60" s="211">
        <v>0</v>
      </c>
      <c r="U60" s="211">
        <f>U59+IF(ISNUMBER(T60),T60*$E$36,0)-IF(ISNUMBER(S60),S60,0)</f>
        <v>140</v>
      </c>
      <c r="V60" s="93">
        <f>Z40</f>
        <v>0</v>
      </c>
      <c r="W60" s="144" t="s">
        <v>100</v>
      </c>
      <c r="X60" s="66">
        <f t="shared" si="14"/>
        <v>0</v>
      </c>
      <c r="Y60" s="212">
        <f>Z41</f>
        <v>88</v>
      </c>
      <c r="Z60" s="212" t="s">
        <v>100</v>
      </c>
      <c r="AA60" s="212">
        <f t="shared" ref="AA60:AA63" si="16">AA59+IF(ISNUMBER(Z60),Z60*$G$36,0)-IF(ISNUMBER(Y60),Y60,0)</f>
        <v>77</v>
      </c>
      <c r="AB60" s="84">
        <f>Z42</f>
        <v>0</v>
      </c>
      <c r="AC60" s="213">
        <v>0</v>
      </c>
      <c r="AD60" s="214">
        <f>AD59+IF(ISNUMBER(AC60),AC60*$H$36,0)-IF(ISNUMBER(AB60),AB60,0)+IF(Z$34="Yes",8,0)</f>
        <v>10</v>
      </c>
      <c r="AE60" s="34"/>
    </row>
    <row r="61" spans="1:31" x14ac:dyDescent="0.25">
      <c r="A61" s="34"/>
      <c r="B61" s="34"/>
      <c r="C61" s="34"/>
      <c r="D61" s="34"/>
      <c r="E61" s="34"/>
      <c r="F61" s="34"/>
      <c r="G61" s="34"/>
      <c r="H61" s="34"/>
      <c r="I61" s="34"/>
      <c r="J61" s="34"/>
      <c r="K61" s="34"/>
      <c r="L61" s="94" t="str">
        <f>AA4</f>
        <v>Xian</v>
      </c>
      <c r="M61" s="217">
        <f>AA37*2</f>
        <v>0</v>
      </c>
      <c r="N61" s="218">
        <v>0</v>
      </c>
      <c r="O61" s="218">
        <f t="shared" si="11"/>
        <v>64</v>
      </c>
      <c r="P61" s="95">
        <f>AA38</f>
        <v>0</v>
      </c>
      <c r="Q61" s="219">
        <v>0</v>
      </c>
      <c r="R61" s="75">
        <f t="shared" si="13"/>
        <v>0</v>
      </c>
      <c r="S61" s="220">
        <f>AA39</f>
        <v>40</v>
      </c>
      <c r="T61" s="220">
        <v>0</v>
      </c>
      <c r="U61" s="220">
        <f>U60+IF(ISNUMBER(T61),T61*$E$36,0)-IF(ISNUMBER(S61),S61,0)+IF(AA$34="Yes",640,0)</f>
        <v>100</v>
      </c>
      <c r="V61" s="96">
        <f>AA40</f>
        <v>0</v>
      </c>
      <c r="W61" s="221" t="s">
        <v>100</v>
      </c>
      <c r="X61" s="79">
        <f t="shared" si="14"/>
        <v>0</v>
      </c>
      <c r="Y61" s="222">
        <f>AA41</f>
        <v>0</v>
      </c>
      <c r="Z61" s="222">
        <v>0</v>
      </c>
      <c r="AA61" s="222">
        <f t="shared" si="16"/>
        <v>77</v>
      </c>
      <c r="AB61" s="136">
        <f>AA42</f>
        <v>0</v>
      </c>
      <c r="AC61" s="223">
        <v>0</v>
      </c>
      <c r="AD61" s="224">
        <f t="shared" si="10"/>
        <v>10</v>
      </c>
      <c r="AE61" s="34"/>
    </row>
    <row r="62" spans="1:31" x14ac:dyDescent="0.25">
      <c r="A62" s="34"/>
      <c r="B62" s="34"/>
      <c r="C62" s="34"/>
      <c r="D62" s="34"/>
      <c r="E62" s="34"/>
      <c r="F62" s="34"/>
      <c r="G62" s="34"/>
      <c r="H62" s="34"/>
      <c r="I62" s="34"/>
      <c r="J62" s="34"/>
      <c r="K62" s="34"/>
      <c r="L62" s="92" t="str">
        <f>AB4</f>
        <v>Floating</v>
      </c>
      <c r="M62" s="208">
        <f>AB37*2</f>
        <v>0</v>
      </c>
      <c r="N62" s="209">
        <v>0</v>
      </c>
      <c r="O62" s="209">
        <f t="shared" si="11"/>
        <v>64</v>
      </c>
      <c r="P62" s="118">
        <f>AB38</f>
        <v>0</v>
      </c>
      <c r="Q62" s="210">
        <v>0</v>
      </c>
      <c r="R62" s="133">
        <f t="shared" si="13"/>
        <v>0</v>
      </c>
      <c r="S62" s="211">
        <f>AB39</f>
        <v>0</v>
      </c>
      <c r="T62" s="211">
        <v>0</v>
      </c>
      <c r="U62" s="211">
        <f>U61+IF(ISNUMBER(T62),T62*$E$36,0)-IF(ISNUMBER(S62),S62,0)</f>
        <v>100</v>
      </c>
      <c r="V62" s="93">
        <f>AB40</f>
        <v>0</v>
      </c>
      <c r="W62" s="144" t="s">
        <v>100</v>
      </c>
      <c r="X62" s="66">
        <f t="shared" si="14"/>
        <v>0</v>
      </c>
      <c r="Y62" s="212">
        <f>AB41</f>
        <v>0</v>
      </c>
      <c r="Z62" s="212">
        <v>0</v>
      </c>
      <c r="AA62" s="212">
        <f t="shared" si="16"/>
        <v>77</v>
      </c>
      <c r="AB62" s="84">
        <f>AB42</f>
        <v>0</v>
      </c>
      <c r="AC62" s="213">
        <v>0</v>
      </c>
      <c r="AD62" s="214">
        <f>AD61+IF(ISNUMBER(AC62),AC62*$H$36,0)-IF(ISNUMBER(AB62),AB62,0)+IF(AB$34="Yes",16,0)</f>
        <v>10</v>
      </c>
      <c r="AE62" s="34"/>
    </row>
    <row r="63" spans="1:31" x14ac:dyDescent="0.25">
      <c r="A63" s="34"/>
      <c r="B63" s="34"/>
      <c r="C63" s="34"/>
      <c r="D63" s="34"/>
      <c r="E63" s="34"/>
      <c r="F63" s="34"/>
      <c r="G63" s="34"/>
      <c r="H63" s="34"/>
      <c r="I63" s="34"/>
      <c r="J63" s="34"/>
      <c r="K63" s="34"/>
      <c r="L63" s="94" t="str">
        <f>AC4</f>
        <v>Dragon</v>
      </c>
      <c r="M63" s="217">
        <f>AC37*2</f>
        <v>0</v>
      </c>
      <c r="N63" s="218" t="s">
        <v>100</v>
      </c>
      <c r="O63" s="218">
        <f t="shared" si="11"/>
        <v>64</v>
      </c>
      <c r="P63" s="95">
        <f>AC38</f>
        <v>0</v>
      </c>
      <c r="Q63" s="219" t="s">
        <v>100</v>
      </c>
      <c r="R63" s="75">
        <f t="shared" si="13"/>
        <v>0</v>
      </c>
      <c r="S63" s="220">
        <f>AC39</f>
        <v>0</v>
      </c>
      <c r="T63" s="220">
        <v>0</v>
      </c>
      <c r="U63" s="220">
        <f>U62+IF(ISNUMBER(T63),T63*$E$36,0)-IF(ISNUMBER(S63),S63,0)</f>
        <v>100</v>
      </c>
      <c r="V63" s="96">
        <f>AC40</f>
        <v>0</v>
      </c>
      <c r="W63" s="221" t="s">
        <v>100</v>
      </c>
      <c r="X63" s="79">
        <f t="shared" si="14"/>
        <v>0</v>
      </c>
      <c r="Y63" s="222">
        <f>AC41</f>
        <v>54</v>
      </c>
      <c r="Z63" s="222" t="s">
        <v>100</v>
      </c>
      <c r="AA63" s="222">
        <f t="shared" si="16"/>
        <v>23</v>
      </c>
      <c r="AB63" s="136">
        <f>AC42</f>
        <v>10</v>
      </c>
      <c r="AC63" s="223" t="s">
        <v>100</v>
      </c>
      <c r="AD63" s="224">
        <f t="shared" si="10"/>
        <v>0</v>
      </c>
      <c r="AE63" s="34"/>
    </row>
    <row r="64" spans="1:31" x14ac:dyDescent="0.25">
      <c r="A64" s="34"/>
      <c r="B64" s="34"/>
      <c r="C64" s="34"/>
      <c r="D64" s="34"/>
      <c r="E64" s="34"/>
      <c r="F64" s="34"/>
      <c r="G64" s="34"/>
      <c r="H64" s="34"/>
      <c r="I64" s="34"/>
      <c r="J64" s="34"/>
      <c r="K64" s="34"/>
      <c r="L64" s="97" t="str">
        <f>AD4</f>
        <v>Epilogue</v>
      </c>
      <c r="M64" s="225" t="str">
        <f>AD37</f>
        <v>--</v>
      </c>
      <c r="N64" s="226" t="s">
        <v>100</v>
      </c>
      <c r="O64" s="227" t="s">
        <v>100</v>
      </c>
      <c r="P64" s="228">
        <v>35</v>
      </c>
      <c r="Q64" s="228">
        <v>27</v>
      </c>
      <c r="R64" s="228">
        <f>Q64*$D$36-P64</f>
        <v>19</v>
      </c>
      <c r="S64" s="229" t="str">
        <f>AD39</f>
        <v>--</v>
      </c>
      <c r="T64" s="230" t="s">
        <v>100</v>
      </c>
      <c r="U64" s="230" t="s">
        <v>100</v>
      </c>
      <c r="V64" s="231" t="str">
        <f>AD40</f>
        <v>--</v>
      </c>
      <c r="W64" s="232" t="s">
        <v>100</v>
      </c>
      <c r="X64" s="233" t="s">
        <v>100</v>
      </c>
      <c r="Y64" s="234" t="str">
        <f>AD41</f>
        <v>--</v>
      </c>
      <c r="Z64" s="234" t="s">
        <v>100</v>
      </c>
      <c r="AA64" s="234" t="s">
        <v>100</v>
      </c>
      <c r="AB64" s="235" t="str">
        <f>AD42</f>
        <v>--</v>
      </c>
      <c r="AC64" s="236" t="s">
        <v>100</v>
      </c>
      <c r="AD64" s="237" t="s">
        <v>100</v>
      </c>
      <c r="AE64" s="34"/>
    </row>
    <row r="65" spans="1:31" ht="13.5" customHeight="1" x14ac:dyDescent="0.25">
      <c r="A65" s="34"/>
      <c r="B65" s="34"/>
      <c r="C65" s="34"/>
      <c r="D65" s="34"/>
      <c r="E65" s="34"/>
      <c r="F65" s="34"/>
      <c r="G65" s="34"/>
      <c r="H65" s="34"/>
      <c r="I65" s="34"/>
      <c r="J65" s="34"/>
      <c r="K65" s="34"/>
      <c r="L65" s="157" t="s">
        <v>136</v>
      </c>
      <c r="M65" s="158">
        <f>SUM(M51:M63)</f>
        <v>216</v>
      </c>
      <c r="N65" s="158">
        <f>SUM(N51:N63)*$C$36</f>
        <v>280</v>
      </c>
      <c r="O65" s="158" t="s">
        <v>100</v>
      </c>
      <c r="P65" s="158">
        <f>SUM(P51:P63)</f>
        <v>0</v>
      </c>
      <c r="Q65" s="158">
        <f>SUM(Q51:Q63)*$D$36</f>
        <v>0</v>
      </c>
      <c r="R65" s="158" t="s">
        <v>100</v>
      </c>
      <c r="S65" s="158">
        <f>SUM(S51:S63)</f>
        <v>60</v>
      </c>
      <c r="T65" s="158">
        <f>SUM(T51:T63)*$E$36</f>
        <v>160</v>
      </c>
      <c r="U65" s="158" t="s">
        <v>100</v>
      </c>
      <c r="V65" s="158">
        <f>SUM(V51:V63)</f>
        <v>0</v>
      </c>
      <c r="W65" s="158">
        <f>SUM(W51:W63)*$F$36</f>
        <v>0</v>
      </c>
      <c r="X65" s="158" t="s">
        <v>100</v>
      </c>
      <c r="Y65" s="158">
        <f>SUM(Y51:Y63)</f>
        <v>337</v>
      </c>
      <c r="Z65" s="158">
        <f>SUM(Z51:Z63)*$G$36</f>
        <v>360</v>
      </c>
      <c r="AA65" s="158" t="s">
        <v>100</v>
      </c>
      <c r="AB65" s="158">
        <f>SUM(AB51:AB63)</f>
        <v>10</v>
      </c>
      <c r="AC65" s="158">
        <f>SUM(AC51:AC63)*$H$36</f>
        <v>10</v>
      </c>
      <c r="AD65" s="159" t="s">
        <v>100</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sheetData>
  <mergeCells count="22">
    <mergeCell ref="M44:AD44"/>
    <mergeCell ref="L44:L46"/>
    <mergeCell ref="B40:H40"/>
    <mergeCell ref="B35:B36"/>
    <mergeCell ref="B39:H39"/>
    <mergeCell ref="V45:X45"/>
    <mergeCell ref="S45:U45"/>
    <mergeCell ref="AB45:AD45"/>
    <mergeCell ref="Y45:AA45"/>
    <mergeCell ref="M45:O45"/>
    <mergeCell ref="P45:R45"/>
    <mergeCell ref="B42:H48"/>
    <mergeCell ref="B38:H38"/>
    <mergeCell ref="B37:H37"/>
    <mergeCell ref="C2:K2"/>
    <mergeCell ref="E3:F3"/>
    <mergeCell ref="B41:H41"/>
    <mergeCell ref="M2:AD3"/>
    <mergeCell ref="L2:L4"/>
    <mergeCell ref="M35:AD35"/>
    <mergeCell ref="C3:D3"/>
    <mergeCell ref="B2:B4"/>
  </mergeCells>
  <conditionalFormatting sqref="R50:R63">
    <cfRule type="cellIs" dxfId="34" priority="3" operator="lessThan">
      <formula>0</formula>
    </cfRule>
  </conditionalFormatting>
  <conditionalFormatting sqref="O47:O63 AD47:AD49 U48:U63 AA48:AA49 X51:X63 R47:S49 R64:S64">
    <cfRule type="cellIs" dxfId="33" priority="4" operator="lessThan">
      <formula>0</formula>
    </cfRule>
  </conditionalFormatting>
  <conditionalFormatting sqref="M5:AD9 M14:AD33 M10:AC13">
    <cfRule type="containsBlanks" dxfId="32" priority="6">
      <formula>LEN(TRIM(M5))=0</formula>
    </cfRule>
  </conditionalFormatting>
  <conditionalFormatting sqref="AD10:AD13">
    <cfRule type="containsBlanks" dxfId="31" priority="5">
      <formula>LEN(TRIM(AD10))=0</formula>
    </cfRule>
  </conditionalFormatting>
  <conditionalFormatting sqref="AD50:AD63">
    <cfRule type="cellIs" dxfId="30" priority="2" operator="lessThan">
      <formula>0</formula>
    </cfRule>
  </conditionalFormatting>
  <conditionalFormatting sqref="AA50:AA63">
    <cfRule type="cellIs" dxfId="29" priority="1" operator="lessThan">
      <formula>0</formula>
    </cfRule>
  </conditionalFormatting>
  <dataValidations count="44">
    <dataValidation type="list" allowBlank="1" showErrorMessage="1" sqref="X24" xr:uid="{00000000-0002-0000-0400-000000000000}">
      <formula1>"0,1,2,3,4,5,6,7,8,9,10,11,12,13,14,15,16,17,18,19,20,21,22"</formula1>
    </dataValidation>
    <dataValidation type="decimal" operator="equal" allowBlank="1" showDropDown="1" showInputMessage="1" showErrorMessage="1" prompt="Big Fookin Chx kill is required." sqref="Z27" xr:uid="{00000000-0002-0000-0400-000001000000}">
      <formula1>1</formula1>
    </dataValidation>
    <dataValidation type="list" allowBlank="1" showErrorMessage="1" sqref="Z5 X6 P9 O11 AA25 AB32 W54 T59:T60" xr:uid="{00000000-0002-0000-0400-000002000000}">
      <formula1>"0,1,2,3,4,5,6"</formula1>
    </dataValidation>
    <dataValidation type="decimal" operator="equal" allowBlank="1" showDropDown="1" showInputMessage="1" showErrorMessage="1" prompt="3 extra come from collecting all secrets." sqref="AC47 AC54" xr:uid="{00000000-0002-0000-0400-000003000000}">
      <formula1>0</formula1>
    </dataValidation>
    <dataValidation type="list" allowBlank="1" showInputMessage="1" showErrorMessage="1" prompt="One kill is required to collect item to open the door." sqref="AC32" xr:uid="{00000000-0002-0000-0400-000004000000}">
      <formula1>"1,2,3,4,5,6"</formula1>
    </dataValidation>
    <dataValidation type="list" allowBlank="1" showErrorMessage="1" sqref="M7 X20 Z26" xr:uid="{00000000-0002-0000-0400-000005000000}">
      <formula1>"0,1,2,3,4,5,6,7,8,9,10,11,12,13"</formula1>
    </dataValidation>
    <dataValidation type="list" allowBlank="1" showInputMessage="1" showErrorMessage="1" prompt="Note that in the level files, there exists an un-triggerable &quot;Stick-wielding goon&quot; who is not counted here." sqref="P11" xr:uid="{00000000-0002-0000-0400-000006000000}">
      <formula1>"0,1,2,3,4,5,6,7,8,9,10,11"</formula1>
    </dataValidation>
    <dataValidation type="list" allowBlank="1" showInputMessage="1" showErrorMessage="1" prompt="2 extra come from collecting all secrets." sqref="AC59" xr:uid="{00000000-0002-0000-0400-000007000000}">
      <formula1>"0,1,2,3,4,5,6"</formula1>
    </dataValidation>
    <dataValidation type="list" allowBlank="1" showInputMessage="1" showErrorMessage="1" prompt="8 extra come from collecting all secrets." sqref="AC62" xr:uid="{00000000-0002-0000-0400-000008000000}">
      <formula1>"0,1,2"</formula1>
    </dataValidation>
    <dataValidation type="list" allowBlank="1" showInputMessage="1" showErrorMessage="1" prompt="4 extra come from collecting all secrets." sqref="Z58" xr:uid="{00000000-0002-0000-0400-000009000000}">
      <formula1>"0,1,2"</formula1>
    </dataValidation>
    <dataValidation type="list" allowBlank="1" showErrorMessage="1" sqref="Q10 P13 S17 U17 N47 Q47 T55 W55 Q57" xr:uid="{00000000-0002-0000-0400-00000A000000}">
      <formula1>"0,1"</formula1>
    </dataValidation>
    <dataValidation type="list" allowBlank="1" showInputMessage="1" showErrorMessage="1" prompt="One shark is inaccessible but still killable. As of now, no ruling has been decided on whether or not this kill is required for 100%/Max%." sqref="T18" xr:uid="{00000000-0002-0000-0400-00000B000000}">
      <formula1>"0,1,2,3"</formula1>
    </dataValidation>
    <dataValidation type="list" allowBlank="1" showErrorMessage="1" sqref="W21" xr:uid="{00000000-0002-0000-0400-00000C000000}">
      <formula1>"0,1,2,3,4,5,6,7,8,9,10,11,12,13,14,15"</formula1>
    </dataValidation>
    <dataValidation type="list" allowBlank="1" showErrorMessage="1" sqref="Y23 T63" xr:uid="{00000000-0002-0000-0400-00000D000000}">
      <formula1>"0,1,2,3,4,5,6,7,8,9,10,11,12,13,14,15,16,17,18"</formula1>
    </dataValidation>
    <dataValidation type="list" allowBlank="1" showInputMessage="1" showErrorMessage="1" prompt="4 extra come from collecting all secrets." sqref="Q49 W53" xr:uid="{00000000-0002-0000-0400-00000E000000}">
      <formula1>"0,1,2,3"</formula1>
    </dataValidation>
    <dataValidation type="decimal" operator="equal" allowBlank="1" showDropDown="1" showInputMessage="1" showErrorMessage="1" prompt="All HSH enemies must be killed." sqref="AD10:AD11" xr:uid="{00000000-0002-0000-0400-00000F000000}">
      <formula1>4</formula1>
    </dataValidation>
    <dataValidation type="list" allowBlank="1" showErrorMessage="1" sqref="O9 P10 O12 AB31" xr:uid="{00000000-0002-0000-0400-000010000000}">
      <formula1>"0,1,2,3,4,5,6,7,8,9,10,11,12"</formula1>
    </dataValidation>
    <dataValidation type="list" allowBlank="1" showErrorMessage="1" sqref="N11 Q14 R17 V19 W22 W28 AC31 T49 Q51 N50:N52 W51:W52 Z52 N54 Z54 N56 Z56 AC57 N58 N61 Q61" xr:uid="{00000000-0002-0000-0400-000011000000}">
      <formula1>"0,1,2,3,4"</formula1>
    </dataValidation>
    <dataValidation type="list" allowBlank="1" showErrorMessage="1" sqref="M8 S11 Q17 U19 Z25 T48 Z48 AC49 AC52 Q53:Q54 T54 N55 Q56 W56 W58 AC58 N60 Q58:Q60 AC61 Z61:Z62" xr:uid="{00000000-0002-0000-0400-000012000000}">
      <formula1>"0,1,2"</formula1>
    </dataValidation>
    <dataValidation type="decimal" operator="equal" allowBlank="1" showDropDown="1" showInputMessage="1" showErrorMessage="1" prompt="All HSH enemies must be killed." sqref="AD13" xr:uid="{00000000-0002-0000-0400-000013000000}">
      <formula1>1</formula1>
    </dataValidation>
    <dataValidation type="list" allowBlank="1" showErrorMessage="1" sqref="M5 N9:N10 R14 V14 Y26 AA29 Q50 N57 T58 N59 Q62" xr:uid="{00000000-0002-0000-0400-000014000000}">
      <formula1>"0,1,2,3,4,5"</formula1>
    </dataValidation>
    <dataValidation type="list" allowBlank="1" showErrorMessage="1" sqref="M6 S14 R16 T17 S18 V17:V18 Y20 Y25 Q48 N49 AC50 Q52 Q55 T56 Z57 N62" xr:uid="{00000000-0002-0000-0400-000015000000}">
      <formula1>"0,1,2,3"</formula1>
    </dataValidation>
    <dataValidation type="list" allowBlank="1" showErrorMessage="1" sqref="AA7 X21" xr:uid="{00000000-0002-0000-0400-000016000000}">
      <formula1>"0,1,2,3,4,5,6,7,8,9,10,11"</formula1>
    </dataValidation>
    <dataValidation type="list" allowBlank="1" showErrorMessage="1" sqref="O10 R10 T14:T15 S19:T19 AA28 T62" xr:uid="{00000000-0002-0000-0400-000017000000}">
      <formula1>"0,1,2,3,4,5,6,7"</formula1>
    </dataValidation>
    <dataValidation type="list" allowBlank="1" showErrorMessage="1" sqref="V11 N12 W23" xr:uid="{00000000-0002-0000-0400-000018000000}">
      <formula1>"0,1,2,3,4,5,6,7,8,9,10"</formula1>
    </dataValidation>
    <dataValidation type="list" allowBlank="1" showInputMessage="1" showErrorMessage="1" prompt="4 extra come from collecting secrets." sqref="T50 T52" xr:uid="{00000000-0002-0000-0400-000019000000}">
      <formula1>"0,1,2,3,4"</formula1>
    </dataValidation>
    <dataValidation type="decimal" operator="equal" allowBlank="1" showDropDown="1" showInputMessage="1" showErrorMessage="1" prompt="4 extra come from collecting all secrets." sqref="Z55" xr:uid="{00000000-0002-0000-0400-00001A000000}">
      <formula1>0</formula1>
    </dataValidation>
    <dataValidation type="list" allowBlank="1" showErrorMessage="1" sqref="P12" xr:uid="{00000000-0002-0000-0400-00001B000000}">
      <formula1>"0,1,2,3,4,5,6,7,8,9,10,11,12,13,14,15,16"</formula1>
    </dataValidation>
    <dataValidation type="list" allowBlank="1" showInputMessage="1" showErrorMessage="1" prompt="4 extra come from collecting all secrets." sqref="N48" xr:uid="{00000000-0002-0000-0400-00001C000000}">
      <formula1>"0,1,2,3,4,5"</formula1>
    </dataValidation>
    <dataValidation type="list" allowBlank="1" showErrorMessage="1" sqref="AA5 AB30" xr:uid="{00000000-0002-0000-0400-00001D000000}">
      <formula1>"0,1,2,3,4,5,6,7,8"</formula1>
    </dataValidation>
    <dataValidation type="list" allowBlank="1" sqref="Y21" xr:uid="{00000000-0002-0000-0400-00001E000000}">
      <formula1>"0,1,2,3,4"</formula1>
    </dataValidation>
    <dataValidation type="list" allowBlank="1" showInputMessage="1" showErrorMessage="1" prompt="2 extra come from collecting all secrets." sqref="Z59" xr:uid="{00000000-0002-0000-0400-00001F000000}">
      <formula1>"0,1,2,3"</formula1>
    </dataValidation>
    <dataValidation type="decimal" operator="equal" allowBlank="1" showDropDown="1" showInputMessage="1" showErrorMessage="1" prompt="All HSH enemies must be killed." sqref="AD12" xr:uid="{00000000-0002-0000-0400-000020000000}">
      <formula1>7</formula1>
    </dataValidation>
    <dataValidation type="list" allowBlank="1" showInputMessage="1" showErrorMessage="1" prompt="4 extra come from collecting all secrets." sqref="AC56 AC60" xr:uid="{00000000-0002-0000-0400-000021000000}">
      <formula1>"0,1,2,3,4"</formula1>
    </dataValidation>
    <dataValidation type="list" allowBlank="1" sqref="V16" xr:uid="{00000000-0002-0000-0400-000022000000}">
      <formula1>"0,1,2,3,4,5"</formula1>
    </dataValidation>
    <dataValidation type="list" allowBlank="1" showErrorMessage="1" sqref="R15" xr:uid="{00000000-0002-0000-0400-000023000000}">
      <formula1>"0,1,2,3,4,5,6,"</formula1>
    </dataValidation>
    <dataValidation type="list" allowBlank="1" showInputMessage="1" showErrorMessage="1" prompt="8 extra come from collecting all secrets." sqref="T61" xr:uid="{00000000-0002-0000-0400-000024000000}">
      <formula1>"0,1,2,3,4"</formula1>
    </dataValidation>
    <dataValidation type="list" allowBlank="1" showInputMessage="1" showErrorMessage="1" prompt="One is required to obtain a necessary key." sqref="Q11" xr:uid="{00000000-0002-0000-0400-000025000000}">
      <formula1>"0,1,2,3,4,5,6,7,8,9,10"</formula1>
    </dataValidation>
    <dataValidation type="list" allowBlank="1" showInputMessage="1" showErrorMessage="1" prompt="One is required to obtain a necessary key" sqref="Q15" xr:uid="{00000000-0002-0000-0400-000026000000}">
      <formula1>"1,2,3"</formula1>
    </dataValidation>
    <dataValidation type="list" allowBlank="1" showInputMessage="1" showErrorMessage="1" prompt="4 extra come from collecting secrets." sqref="T57" xr:uid="{00000000-0002-0000-0400-000027000000}">
      <formula1>"0,1,2,3"</formula1>
    </dataValidation>
    <dataValidation type="list" allowBlank="1" showErrorMessage="1" sqref="R11 T11:U11 U14" xr:uid="{00000000-0002-0000-0400-000028000000}">
      <formula1>"0,1,2,3,4,5,6,7,8,9"</formula1>
    </dataValidation>
    <dataValidation type="decimal" operator="equal" allowBlank="1" showDropDown="1" showInputMessage="1" showErrorMessage="1" prompt="Dragon kill is required." sqref="AC33" xr:uid="{00000000-0002-0000-0400-000029000000}">
      <formula1>1</formula1>
    </dataValidation>
    <dataValidation type="list" allowBlank="1" showInputMessage="1" showErrorMessage="1" prompt="3 extra come from collecting all secrets." sqref="T51" xr:uid="{00000000-0002-0000-0400-00002A000000}">
      <formula1>"0,1"</formula1>
    </dataValidation>
    <dataValidation type="list" allowBlank="1" showInputMessage="1" showErrorMessage="1" sqref="J36 J39 M34:AB34" xr:uid="{00000000-0002-0000-0400-00002B000000}">
      <formula1>"Yes,No"</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FCF61-5F50-4C36-B73D-C9C4EAF6E212}">
  <sheetPr codeName="s06">
    <outlinePr summaryBelow="0" summaryRight="0"/>
  </sheetPr>
  <dimension ref="A1:AE67"/>
  <sheetViews>
    <sheetView showGridLines="0" zoomScale="85" zoomScaleNormal="85" workbookViewId="0"/>
  </sheetViews>
  <sheetFormatPr defaultColWidth="0" defaultRowHeight="15.75" customHeight="1" zeroHeight="1" x14ac:dyDescent="0.25"/>
  <cols>
    <col min="1" max="1" width="2" style="108" customWidth="1"/>
    <col min="2" max="2" width="18" style="108" customWidth="1"/>
    <col min="3" max="4" width="9.42578125" style="108" customWidth="1"/>
    <col min="5" max="5" width="9.7109375" style="108" customWidth="1"/>
    <col min="6" max="6" width="10.140625" style="108" customWidth="1"/>
    <col min="7" max="7" width="10.5703125" style="108" customWidth="1"/>
    <col min="8" max="8" width="10.7109375" style="108" customWidth="1"/>
    <col min="9" max="9" width="13.85546875" style="108" bestFit="1" customWidth="1"/>
    <col min="10" max="10" width="9.5703125" style="108" customWidth="1"/>
    <col min="11" max="11" width="18.140625" style="108" customWidth="1"/>
    <col min="12" max="12" width="17.85546875" style="108" customWidth="1"/>
    <col min="13" max="13" width="10.7109375" style="108" customWidth="1"/>
    <col min="14" max="14" width="7.42578125" style="108" customWidth="1"/>
    <col min="15" max="15" width="10.85546875" style="108" customWidth="1"/>
    <col min="16" max="16" width="8.7109375" style="108" customWidth="1"/>
    <col min="17" max="17" width="9" style="108" customWidth="1"/>
    <col min="18" max="18" width="10.85546875" style="108" customWidth="1"/>
    <col min="19" max="19" width="9.140625" style="108" customWidth="1"/>
    <col min="20" max="20" width="11.7109375" style="108" customWidth="1"/>
    <col min="21" max="21" width="10.85546875" style="108" customWidth="1"/>
    <col min="22" max="22" width="10" style="108" customWidth="1"/>
    <col min="23" max="23" width="8.7109375" style="108" customWidth="1"/>
    <col min="24" max="24" width="10.85546875" style="108" customWidth="1"/>
    <col min="25" max="25" width="11.42578125" style="108" customWidth="1"/>
    <col min="26" max="26" width="10.7109375" style="108" customWidth="1"/>
    <col min="27" max="27" width="10.85546875" style="108" customWidth="1"/>
    <col min="28" max="28" width="9.28515625" style="108" customWidth="1"/>
    <col min="29" max="29" width="7.85546875" style="108" customWidth="1"/>
    <col min="30" max="30" width="10.85546875" style="108" customWidth="1"/>
    <col min="31" max="31" width="2" style="108" customWidth="1"/>
    <col min="32" max="16384" width="14.42578125" style="108"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5" t="s">
        <v>2</v>
      </c>
      <c r="C2" s="354" t="s">
        <v>5</v>
      </c>
      <c r="D2" s="316"/>
      <c r="E2" s="316"/>
      <c r="F2" s="316"/>
      <c r="G2" s="316"/>
      <c r="H2" s="316"/>
      <c r="I2" s="316"/>
      <c r="J2" s="316"/>
      <c r="K2" s="316"/>
      <c r="L2" s="355" t="s">
        <v>2</v>
      </c>
      <c r="M2" s="338" t="s">
        <v>7</v>
      </c>
      <c r="N2" s="316"/>
      <c r="O2" s="316"/>
      <c r="P2" s="316"/>
      <c r="Q2" s="316"/>
      <c r="R2" s="316"/>
      <c r="S2" s="316"/>
      <c r="T2" s="316"/>
      <c r="U2" s="316"/>
      <c r="V2" s="316"/>
      <c r="W2" s="316"/>
      <c r="X2" s="316"/>
      <c r="Y2" s="316"/>
      <c r="Z2" s="316"/>
      <c r="AA2" s="316"/>
      <c r="AB2" s="316"/>
      <c r="AC2" s="316"/>
      <c r="AD2" s="317"/>
      <c r="AE2" s="34"/>
    </row>
    <row r="3" spans="1:31" x14ac:dyDescent="0.25">
      <c r="A3" s="33"/>
      <c r="B3" s="356"/>
      <c r="C3" s="363" t="s">
        <v>13</v>
      </c>
      <c r="D3" s="316"/>
      <c r="E3" s="364" t="s">
        <v>15</v>
      </c>
      <c r="F3" s="317"/>
      <c r="G3" s="35" t="s">
        <v>16</v>
      </c>
      <c r="H3" s="36" t="s">
        <v>155</v>
      </c>
      <c r="I3" s="137" t="s">
        <v>156</v>
      </c>
      <c r="J3" s="37" t="s">
        <v>20</v>
      </c>
      <c r="K3" s="125" t="s">
        <v>22</v>
      </c>
      <c r="L3" s="356"/>
      <c r="M3" s="361"/>
      <c r="N3" s="312"/>
      <c r="O3" s="312"/>
      <c r="P3" s="312"/>
      <c r="Q3" s="312"/>
      <c r="R3" s="312"/>
      <c r="S3" s="312"/>
      <c r="T3" s="312"/>
      <c r="U3" s="312"/>
      <c r="V3" s="312"/>
      <c r="W3" s="312"/>
      <c r="X3" s="312"/>
      <c r="Y3" s="312"/>
      <c r="Z3" s="312"/>
      <c r="AA3" s="312"/>
      <c r="AB3" s="312"/>
      <c r="AC3" s="312"/>
      <c r="AD3" s="310"/>
      <c r="AE3" s="34"/>
    </row>
    <row r="4" spans="1:31" x14ac:dyDescent="0.25">
      <c r="A4" s="33"/>
      <c r="B4" s="357"/>
      <c r="C4" s="111" t="s">
        <v>26</v>
      </c>
      <c r="D4" s="112" t="s">
        <v>27</v>
      </c>
      <c r="E4" s="145" t="s">
        <v>26</v>
      </c>
      <c r="F4" s="38" t="s">
        <v>27</v>
      </c>
      <c r="G4" s="116" t="s">
        <v>30</v>
      </c>
      <c r="H4" s="121" t="s">
        <v>26</v>
      </c>
      <c r="I4" s="39" t="s">
        <v>35</v>
      </c>
      <c r="J4" s="123" t="s">
        <v>26</v>
      </c>
      <c r="K4" s="40" t="s">
        <v>38</v>
      </c>
      <c r="L4" s="357"/>
      <c r="M4" s="41" t="s">
        <v>39</v>
      </c>
      <c r="N4" s="42" t="s">
        <v>40</v>
      </c>
      <c r="O4" s="42" t="s">
        <v>41</v>
      </c>
      <c r="P4" s="42" t="s">
        <v>157</v>
      </c>
      <c r="Q4" s="43" t="s">
        <v>42</v>
      </c>
      <c r="R4" s="43" t="s">
        <v>43</v>
      </c>
      <c r="S4" s="43" t="s">
        <v>44</v>
      </c>
      <c r="T4" s="43" t="s">
        <v>45</v>
      </c>
      <c r="U4" s="43" t="s">
        <v>46</v>
      </c>
      <c r="V4" s="43" t="s">
        <v>47</v>
      </c>
      <c r="W4" s="43" t="s">
        <v>48</v>
      </c>
      <c r="X4" s="43" t="s">
        <v>49</v>
      </c>
      <c r="Y4" s="43" t="s">
        <v>50</v>
      </c>
      <c r="Z4" s="43" t="s">
        <v>51</v>
      </c>
      <c r="AA4" s="43" t="s">
        <v>52</v>
      </c>
      <c r="AB4" s="43" t="s">
        <v>53</v>
      </c>
      <c r="AC4" s="43" t="s">
        <v>54</v>
      </c>
      <c r="AD4" s="44" t="s">
        <v>55</v>
      </c>
      <c r="AE4" s="34"/>
    </row>
    <row r="5" spans="1:31" x14ac:dyDescent="0.25">
      <c r="A5" s="34"/>
      <c r="B5" s="45" t="s">
        <v>56</v>
      </c>
      <c r="C5" s="34">
        <f>20/(IF($J$36="Yes",1,0)+1)*(IF($J$39="Yes",1,0)+1)</f>
        <v>20</v>
      </c>
      <c r="D5" s="34">
        <f>ROUNDUP(C5/2,0)</f>
        <v>10</v>
      </c>
      <c r="E5" s="25">
        <f>ROUNDUP(C5/2,0)</f>
        <v>10</v>
      </c>
      <c r="F5" s="46">
        <f t="shared" ref="F5:F33" si="0">ROUNDUP(E5/2,0)</f>
        <v>5</v>
      </c>
      <c r="G5" s="26">
        <f>ROUNDUP(C5/18,0)</f>
        <v>2</v>
      </c>
      <c r="H5" s="27">
        <f>ROUNDUP(C5,0)</f>
        <v>20</v>
      </c>
      <c r="I5" s="138">
        <f>ROUNDUP(C5/4,0)</f>
        <v>5</v>
      </c>
      <c r="J5" s="28">
        <f>ROUNDUP(H5/3,0)</f>
        <v>7</v>
      </c>
      <c r="K5" s="126">
        <f>ROUNDUP(C5/30,0)</f>
        <v>1</v>
      </c>
      <c r="L5" s="45" t="str">
        <f t="shared" ref="L5:L33" si="1">B5</f>
        <v>Tiger</v>
      </c>
      <c r="M5" s="98">
        <v>2</v>
      </c>
      <c r="N5" s="34"/>
      <c r="O5" s="34"/>
      <c r="P5" s="34"/>
      <c r="Q5" s="34"/>
      <c r="R5" s="34"/>
      <c r="S5" s="34"/>
      <c r="T5" s="34"/>
      <c r="U5" s="34"/>
      <c r="V5" s="34"/>
      <c r="W5" s="34"/>
      <c r="X5" s="34"/>
      <c r="Y5" s="34"/>
      <c r="Z5" s="99">
        <v>3</v>
      </c>
      <c r="AA5" s="99">
        <v>0</v>
      </c>
      <c r="AB5" s="34"/>
      <c r="AC5" s="34"/>
      <c r="AD5" s="101"/>
      <c r="AE5" s="34"/>
    </row>
    <row r="6" spans="1:31" x14ac:dyDescent="0.25">
      <c r="A6" s="34"/>
      <c r="B6" s="129" t="s">
        <v>58</v>
      </c>
      <c r="C6" s="113">
        <f>15/(IF($J$36="Yes",1,0)+1)*(IF($J$39="Yes",1,0)+1)</f>
        <v>15</v>
      </c>
      <c r="D6" s="113">
        <f t="shared" ref="D6:D33" si="2">ROUNDUP(C6/2,0)</f>
        <v>8</v>
      </c>
      <c r="E6" s="29">
        <f t="shared" ref="E6:E33" si="3">ROUNDUP(C6/2,0)</f>
        <v>8</v>
      </c>
      <c r="F6" s="48">
        <f t="shared" si="0"/>
        <v>4</v>
      </c>
      <c r="G6" s="117">
        <f t="shared" ref="G6:G33" si="4">ROUNDUP(C6/18,0)</f>
        <v>1</v>
      </c>
      <c r="H6" s="120">
        <f t="shared" ref="H6:H33" si="5">ROUNDUP(C6,0)</f>
        <v>15</v>
      </c>
      <c r="I6" s="30">
        <f t="shared" ref="I6:I33" si="6">ROUNDUP(C6/4,0)</f>
        <v>4</v>
      </c>
      <c r="J6" s="124">
        <f t="shared" ref="J6:J33" si="7">ROUNDUP(H6/3,0)</f>
        <v>5</v>
      </c>
      <c r="K6" s="49">
        <f t="shared" ref="K6:K33" si="8">ROUNDUP(C6/30,0)</f>
        <v>1</v>
      </c>
      <c r="L6" s="129" t="str">
        <f t="shared" si="1"/>
        <v>Crow</v>
      </c>
      <c r="M6" s="199">
        <v>0</v>
      </c>
      <c r="N6" s="34"/>
      <c r="O6" s="34"/>
      <c r="P6" s="34"/>
      <c r="Q6" s="34"/>
      <c r="R6" s="34"/>
      <c r="S6" s="34"/>
      <c r="T6" s="34"/>
      <c r="U6" s="34"/>
      <c r="V6" s="34"/>
      <c r="W6" s="34"/>
      <c r="X6" s="200">
        <v>0</v>
      </c>
      <c r="Y6" s="34"/>
      <c r="Z6" s="34"/>
      <c r="AA6" s="34"/>
      <c r="AB6" s="34"/>
      <c r="AC6" s="34"/>
      <c r="AD6" s="101"/>
      <c r="AE6" s="34"/>
    </row>
    <row r="7" spans="1:31" x14ac:dyDescent="0.25">
      <c r="A7" s="34"/>
      <c r="B7" s="50" t="s">
        <v>60</v>
      </c>
      <c r="C7" s="34">
        <f>5/(IF($J$36="Yes",1,0)+1)*(IF($J$39="Yes",1,0)+1)</f>
        <v>5</v>
      </c>
      <c r="D7" s="34">
        <f t="shared" si="2"/>
        <v>3</v>
      </c>
      <c r="E7" s="25">
        <f t="shared" si="3"/>
        <v>3</v>
      </c>
      <c r="F7" s="46">
        <f t="shared" si="0"/>
        <v>2</v>
      </c>
      <c r="G7" s="26">
        <f t="shared" si="4"/>
        <v>1</v>
      </c>
      <c r="H7" s="27">
        <f t="shared" si="5"/>
        <v>5</v>
      </c>
      <c r="I7" s="138">
        <f t="shared" si="6"/>
        <v>2</v>
      </c>
      <c r="J7" s="28">
        <f t="shared" si="7"/>
        <v>2</v>
      </c>
      <c r="K7" s="126">
        <f t="shared" si="8"/>
        <v>1</v>
      </c>
      <c r="L7" s="50" t="str">
        <f t="shared" si="1"/>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62</v>
      </c>
      <c r="C8" s="113">
        <f>100/(IF($J$36="Yes",1,0)+1)*(IF($J$39="Yes",1,0)+1)</f>
        <v>100</v>
      </c>
      <c r="D8" s="113">
        <f t="shared" si="2"/>
        <v>50</v>
      </c>
      <c r="E8" s="29">
        <f t="shared" si="3"/>
        <v>50</v>
      </c>
      <c r="F8" s="48">
        <f t="shared" si="0"/>
        <v>25</v>
      </c>
      <c r="G8" s="117">
        <f t="shared" si="4"/>
        <v>6</v>
      </c>
      <c r="H8" s="120">
        <f t="shared" si="5"/>
        <v>100</v>
      </c>
      <c r="I8" s="30">
        <f t="shared" si="6"/>
        <v>25</v>
      </c>
      <c r="J8" s="124">
        <f t="shared" si="7"/>
        <v>34</v>
      </c>
      <c r="K8" s="49">
        <f t="shared" si="8"/>
        <v>4</v>
      </c>
      <c r="L8" s="129" t="str">
        <f t="shared" si="1"/>
        <v>T-Rex</v>
      </c>
      <c r="M8" s="199">
        <v>0</v>
      </c>
      <c r="N8" s="34"/>
      <c r="O8" s="34"/>
      <c r="P8" s="34"/>
      <c r="Q8" s="34"/>
      <c r="R8" s="34"/>
      <c r="S8" s="34"/>
      <c r="T8" s="34"/>
      <c r="U8" s="34"/>
      <c r="V8" s="34"/>
      <c r="W8" s="34"/>
      <c r="X8" s="34"/>
      <c r="Y8" s="34"/>
      <c r="Z8" s="34"/>
      <c r="AA8" s="34"/>
      <c r="AB8" s="34"/>
      <c r="AC8" s="34"/>
      <c r="AD8" s="101"/>
      <c r="AE8" s="34"/>
    </row>
    <row r="9" spans="1:31" x14ac:dyDescent="0.25">
      <c r="A9" s="34"/>
      <c r="B9" s="50" t="s">
        <v>64</v>
      </c>
      <c r="C9" s="34">
        <f>4/(IF($J$36="Yes",1,0)+1)*(IF($J$39="Yes",1,0)+1)</f>
        <v>4</v>
      </c>
      <c r="D9" s="34">
        <f t="shared" si="2"/>
        <v>2</v>
      </c>
      <c r="E9" s="25">
        <f t="shared" si="3"/>
        <v>2</v>
      </c>
      <c r="F9" s="46">
        <f t="shared" si="0"/>
        <v>1</v>
      </c>
      <c r="G9" s="26">
        <f t="shared" si="4"/>
        <v>1</v>
      </c>
      <c r="H9" s="27">
        <f t="shared" si="5"/>
        <v>4</v>
      </c>
      <c r="I9" s="138">
        <f t="shared" si="6"/>
        <v>1</v>
      </c>
      <c r="J9" s="28">
        <f t="shared" si="7"/>
        <v>2</v>
      </c>
      <c r="K9" s="126">
        <f t="shared" si="8"/>
        <v>1</v>
      </c>
      <c r="L9" s="50" t="str">
        <f t="shared" si="1"/>
        <v>Rat</v>
      </c>
      <c r="M9" s="47"/>
      <c r="N9" s="99">
        <v>0</v>
      </c>
      <c r="O9" s="99">
        <v>2</v>
      </c>
      <c r="P9" s="99">
        <v>0</v>
      </c>
      <c r="Q9" s="99"/>
      <c r="R9" s="99"/>
      <c r="S9" s="99"/>
      <c r="T9" s="99"/>
      <c r="U9" s="99"/>
      <c r="V9" s="99"/>
      <c r="W9" s="99"/>
      <c r="X9" s="99"/>
      <c r="Y9" s="99"/>
      <c r="Z9" s="99"/>
      <c r="AA9" s="99"/>
      <c r="AB9" s="99"/>
      <c r="AC9" s="99"/>
      <c r="AD9" s="101"/>
      <c r="AE9" s="34"/>
    </row>
    <row r="10" spans="1:31" x14ac:dyDescent="0.25">
      <c r="A10" s="34"/>
      <c r="B10" s="129" t="s">
        <v>65</v>
      </c>
      <c r="C10" s="113">
        <f>10/(IF($J$36="Yes",1,0)+1)*(IF($J$39="Yes",1,0)+1)</f>
        <v>10</v>
      </c>
      <c r="D10" s="113">
        <f t="shared" si="2"/>
        <v>5</v>
      </c>
      <c r="E10" s="29">
        <f t="shared" si="3"/>
        <v>5</v>
      </c>
      <c r="F10" s="48">
        <f t="shared" si="0"/>
        <v>3</v>
      </c>
      <c r="G10" s="117">
        <f t="shared" si="4"/>
        <v>1</v>
      </c>
      <c r="H10" s="120">
        <f t="shared" si="5"/>
        <v>10</v>
      </c>
      <c r="I10" s="30">
        <f t="shared" si="6"/>
        <v>3</v>
      </c>
      <c r="J10" s="124">
        <f t="shared" si="7"/>
        <v>4</v>
      </c>
      <c r="K10" s="49">
        <f t="shared" si="8"/>
        <v>1</v>
      </c>
      <c r="L10" s="129" t="str">
        <f t="shared" si="1"/>
        <v>Dog</v>
      </c>
      <c r="M10" s="47"/>
      <c r="N10" s="200">
        <v>0</v>
      </c>
      <c r="O10" s="200">
        <v>0</v>
      </c>
      <c r="P10" s="200">
        <v>0</v>
      </c>
      <c r="Q10" s="200">
        <v>1</v>
      </c>
      <c r="R10" s="200">
        <v>4</v>
      </c>
      <c r="S10" s="100"/>
      <c r="T10" s="100"/>
      <c r="U10" s="100"/>
      <c r="V10" s="100"/>
      <c r="W10" s="100"/>
      <c r="X10" s="100"/>
      <c r="Y10" s="100"/>
      <c r="Z10" s="100"/>
      <c r="AA10" s="100"/>
      <c r="AB10" s="100"/>
      <c r="AC10" s="100"/>
      <c r="AD10" s="201">
        <v>4</v>
      </c>
      <c r="AE10" s="34"/>
    </row>
    <row r="11" spans="1:31" x14ac:dyDescent="0.25">
      <c r="A11" s="34"/>
      <c r="B11" s="50" t="s">
        <v>67</v>
      </c>
      <c r="C11" s="34">
        <f>27/(IF($J$36="Yes",1,0)+1)*(IF($J$39="Yes",1,0)+1)</f>
        <v>27</v>
      </c>
      <c r="D11" s="34">
        <f t="shared" si="2"/>
        <v>14</v>
      </c>
      <c r="E11" s="25">
        <f t="shared" si="3"/>
        <v>14</v>
      </c>
      <c r="F11" s="46">
        <f t="shared" si="0"/>
        <v>7</v>
      </c>
      <c r="G11" s="26">
        <f t="shared" si="4"/>
        <v>2</v>
      </c>
      <c r="H11" s="27">
        <f t="shared" si="5"/>
        <v>27</v>
      </c>
      <c r="I11" s="138">
        <f t="shared" si="6"/>
        <v>7</v>
      </c>
      <c r="J11" s="28">
        <f t="shared" si="7"/>
        <v>9</v>
      </c>
      <c r="K11" s="126">
        <f t="shared" si="8"/>
        <v>1</v>
      </c>
      <c r="L11" s="50" t="str">
        <f t="shared" si="1"/>
        <v>Melee Thug</v>
      </c>
      <c r="M11" s="47"/>
      <c r="N11" s="99">
        <v>0</v>
      </c>
      <c r="O11" s="99">
        <v>2</v>
      </c>
      <c r="P11" s="99">
        <v>0</v>
      </c>
      <c r="Q11" s="99">
        <v>2</v>
      </c>
      <c r="R11" s="99">
        <v>2</v>
      </c>
      <c r="S11" s="99">
        <v>0</v>
      </c>
      <c r="T11" s="99">
        <v>2</v>
      </c>
      <c r="U11" s="99">
        <v>1</v>
      </c>
      <c r="V11" s="99">
        <v>1</v>
      </c>
      <c r="W11" s="99"/>
      <c r="X11" s="99"/>
      <c r="Y11" s="99"/>
      <c r="Z11" s="99"/>
      <c r="AA11" s="99"/>
      <c r="AB11" s="99"/>
      <c r="AC11" s="99"/>
      <c r="AD11" s="205">
        <v>4</v>
      </c>
      <c r="AE11" s="34"/>
    </row>
    <row r="12" spans="1:31" x14ac:dyDescent="0.25">
      <c r="A12" s="34"/>
      <c r="B12" s="129" t="s">
        <v>68</v>
      </c>
      <c r="C12" s="113">
        <f>25/(IF($J$36="Yes",1,0)+1)*(IF($J$39="Yes",1,0)+1)</f>
        <v>25</v>
      </c>
      <c r="D12" s="113">
        <f t="shared" si="2"/>
        <v>13</v>
      </c>
      <c r="E12" s="29">
        <f t="shared" si="3"/>
        <v>13</v>
      </c>
      <c r="F12" s="48">
        <f t="shared" si="0"/>
        <v>7</v>
      </c>
      <c r="G12" s="117">
        <f t="shared" si="4"/>
        <v>2</v>
      </c>
      <c r="H12" s="120">
        <f t="shared" si="5"/>
        <v>25</v>
      </c>
      <c r="I12" s="30">
        <f t="shared" si="6"/>
        <v>7</v>
      </c>
      <c r="J12" s="124">
        <f t="shared" si="7"/>
        <v>9</v>
      </c>
      <c r="K12" s="49">
        <f t="shared" si="8"/>
        <v>1</v>
      </c>
      <c r="L12" s="129" t="str">
        <f t="shared" si="1"/>
        <v>Pistol Thug</v>
      </c>
      <c r="M12" s="47"/>
      <c r="N12" s="200">
        <v>0</v>
      </c>
      <c r="O12" s="200">
        <v>1</v>
      </c>
      <c r="P12" s="200">
        <v>0</v>
      </c>
      <c r="Q12" s="100"/>
      <c r="R12" s="100"/>
      <c r="S12" s="100"/>
      <c r="T12" s="100"/>
      <c r="U12" s="100"/>
      <c r="V12" s="100"/>
      <c r="W12" s="100"/>
      <c r="X12" s="100"/>
      <c r="Y12" s="100"/>
      <c r="Z12" s="100"/>
      <c r="AA12" s="100"/>
      <c r="AB12" s="100"/>
      <c r="AC12" s="100"/>
      <c r="AD12" s="201">
        <v>7</v>
      </c>
      <c r="AE12" s="34"/>
    </row>
    <row r="13" spans="1:31" x14ac:dyDescent="0.25">
      <c r="A13" s="34"/>
      <c r="B13" s="50" t="s">
        <v>69</v>
      </c>
      <c r="C13" s="34">
        <f>150/(IF($J$36="Yes",1,0)+1)*(IF($J$39="Yes",1,0)+1)</f>
        <v>150</v>
      </c>
      <c r="D13" s="34">
        <f t="shared" si="2"/>
        <v>75</v>
      </c>
      <c r="E13" s="25">
        <f t="shared" si="3"/>
        <v>75</v>
      </c>
      <c r="F13" s="46">
        <f t="shared" si="0"/>
        <v>38</v>
      </c>
      <c r="G13" s="26">
        <f t="shared" si="4"/>
        <v>9</v>
      </c>
      <c r="H13" s="27">
        <f t="shared" si="5"/>
        <v>150</v>
      </c>
      <c r="I13" s="138">
        <f t="shared" si="6"/>
        <v>38</v>
      </c>
      <c r="J13" s="28">
        <f t="shared" si="7"/>
        <v>50</v>
      </c>
      <c r="K13" s="126">
        <f t="shared" si="8"/>
        <v>5</v>
      </c>
      <c r="L13" s="50" t="str">
        <f t="shared" si="1"/>
        <v>Colt</v>
      </c>
      <c r="M13" s="47"/>
      <c r="N13" s="34"/>
      <c r="O13" s="99"/>
      <c r="P13" s="99">
        <v>0</v>
      </c>
      <c r="Q13" s="99"/>
      <c r="R13" s="99"/>
      <c r="S13" s="99"/>
      <c r="T13" s="99"/>
      <c r="U13" s="99"/>
      <c r="V13" s="99"/>
      <c r="W13" s="99"/>
      <c r="X13" s="99"/>
      <c r="Y13" s="99"/>
      <c r="Z13" s="99"/>
      <c r="AA13" s="99"/>
      <c r="AB13" s="99"/>
      <c r="AC13" s="99"/>
      <c r="AD13" s="205">
        <v>1</v>
      </c>
      <c r="AE13" s="34"/>
    </row>
    <row r="14" spans="1:31" x14ac:dyDescent="0.25">
      <c r="A14" s="34"/>
      <c r="B14" s="129" t="s">
        <v>71</v>
      </c>
      <c r="C14" s="113">
        <f>25/(IF($J$36="Yes",1,0)+1)*(IF($J$39="Yes",1,0)+1)</f>
        <v>25</v>
      </c>
      <c r="D14" s="113">
        <f t="shared" si="2"/>
        <v>13</v>
      </c>
      <c r="E14" s="29">
        <f t="shared" si="3"/>
        <v>13</v>
      </c>
      <c r="F14" s="48">
        <f t="shared" si="0"/>
        <v>7</v>
      </c>
      <c r="G14" s="117">
        <f t="shared" si="4"/>
        <v>2</v>
      </c>
      <c r="H14" s="120">
        <f t="shared" si="5"/>
        <v>25</v>
      </c>
      <c r="I14" s="30">
        <f t="shared" si="6"/>
        <v>7</v>
      </c>
      <c r="J14" s="124">
        <f t="shared" si="7"/>
        <v>9</v>
      </c>
      <c r="K14" s="49">
        <f t="shared" si="8"/>
        <v>1</v>
      </c>
      <c r="L14" s="129" t="str">
        <f t="shared" si="1"/>
        <v>Shotgun Thug</v>
      </c>
      <c r="M14" s="47"/>
      <c r="N14" s="34"/>
      <c r="O14" s="100"/>
      <c r="P14" s="100"/>
      <c r="Q14" s="200">
        <v>1</v>
      </c>
      <c r="R14" s="200">
        <v>2</v>
      </c>
      <c r="S14" s="200">
        <v>0</v>
      </c>
      <c r="T14" s="200">
        <v>1</v>
      </c>
      <c r="U14" s="200">
        <v>1</v>
      </c>
      <c r="V14" s="200">
        <v>0</v>
      </c>
      <c r="W14" s="100"/>
      <c r="X14" s="100"/>
      <c r="Y14" s="100"/>
      <c r="Z14" s="100"/>
      <c r="AA14" s="100"/>
      <c r="AB14" s="100"/>
      <c r="AC14" s="100"/>
      <c r="AD14" s="101"/>
      <c r="AE14" s="34"/>
    </row>
    <row r="15" spans="1:31" x14ac:dyDescent="0.25">
      <c r="A15" s="34"/>
      <c r="B15" s="50" t="s">
        <v>72</v>
      </c>
      <c r="C15" s="34">
        <f>20/(IF($J$36="Yes",1,0)+1)*(IF($J$39="Yes",1,0)+1)</f>
        <v>20</v>
      </c>
      <c r="D15" s="34">
        <f t="shared" si="2"/>
        <v>10</v>
      </c>
      <c r="E15" s="25">
        <f t="shared" si="3"/>
        <v>10</v>
      </c>
      <c r="F15" s="46">
        <f t="shared" si="0"/>
        <v>5</v>
      </c>
      <c r="G15" s="26">
        <f t="shared" si="4"/>
        <v>2</v>
      </c>
      <c r="H15" s="27">
        <f t="shared" si="5"/>
        <v>20</v>
      </c>
      <c r="I15" s="138">
        <f t="shared" si="6"/>
        <v>5</v>
      </c>
      <c r="J15" s="28">
        <f t="shared" si="7"/>
        <v>7</v>
      </c>
      <c r="K15" s="126">
        <f t="shared" si="8"/>
        <v>1</v>
      </c>
      <c r="L15" s="50" t="str">
        <f t="shared" si="1"/>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73</v>
      </c>
      <c r="C16" s="113">
        <f>20/(IF($J$36="Yes",1,0)+1)*(IF($J$39="Yes",1,0)+1)</f>
        <v>20</v>
      </c>
      <c r="D16" s="113">
        <f t="shared" si="2"/>
        <v>10</v>
      </c>
      <c r="E16" s="29">
        <f t="shared" si="3"/>
        <v>10</v>
      </c>
      <c r="F16" s="48">
        <f t="shared" si="0"/>
        <v>5</v>
      </c>
      <c r="G16" s="117">
        <f t="shared" si="4"/>
        <v>2</v>
      </c>
      <c r="H16" s="120">
        <f t="shared" si="5"/>
        <v>20</v>
      </c>
      <c r="I16" s="30">
        <f t="shared" si="6"/>
        <v>5</v>
      </c>
      <c r="J16" s="124">
        <f t="shared" si="7"/>
        <v>7</v>
      </c>
      <c r="K16" s="49">
        <f t="shared" si="8"/>
        <v>1</v>
      </c>
      <c r="L16" s="129" t="str">
        <f t="shared" si="1"/>
        <v>Flamethrower</v>
      </c>
      <c r="M16" s="47"/>
      <c r="N16" s="34"/>
      <c r="O16" s="100"/>
      <c r="P16" s="100"/>
      <c r="Q16" s="100"/>
      <c r="R16" s="200">
        <v>1</v>
      </c>
      <c r="S16" s="100"/>
      <c r="T16" s="100"/>
      <c r="U16" s="100"/>
      <c r="V16" s="200">
        <v>2</v>
      </c>
      <c r="W16" s="100"/>
      <c r="X16" s="100"/>
      <c r="Y16" s="100"/>
      <c r="Z16" s="100"/>
      <c r="AA16" s="100"/>
      <c r="AB16" s="100"/>
      <c r="AC16" s="100"/>
      <c r="AD16" s="101"/>
      <c r="AE16" s="34"/>
    </row>
    <row r="17" spans="1:31" x14ac:dyDescent="0.25">
      <c r="A17" s="34"/>
      <c r="B17" s="50" t="s">
        <v>145</v>
      </c>
      <c r="C17" s="34">
        <f>20/(IF($J$36="Yes",1,0)+1)*(IF($J$39="Yes",1,0)+1)</f>
        <v>20</v>
      </c>
      <c r="D17" s="34">
        <f t="shared" si="2"/>
        <v>10</v>
      </c>
      <c r="E17" s="25">
        <f t="shared" si="3"/>
        <v>10</v>
      </c>
      <c r="F17" s="46">
        <f t="shared" si="0"/>
        <v>5</v>
      </c>
      <c r="G17" s="26">
        <f t="shared" si="4"/>
        <v>2</v>
      </c>
      <c r="H17" s="27">
        <f t="shared" si="5"/>
        <v>20</v>
      </c>
      <c r="I17" s="138">
        <f t="shared" si="6"/>
        <v>5</v>
      </c>
      <c r="J17" s="28">
        <f t="shared" si="7"/>
        <v>7</v>
      </c>
      <c r="K17" s="126">
        <f t="shared" si="8"/>
        <v>1</v>
      </c>
      <c r="L17" s="50" t="str">
        <f t="shared" si="1"/>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75</v>
      </c>
      <c r="C18" s="113">
        <f>30/(IF($J$36="Yes",1,0)+1)*(IF($J$39="Yes",1,0)+1)</f>
        <v>30</v>
      </c>
      <c r="D18" s="113">
        <f t="shared" si="2"/>
        <v>15</v>
      </c>
      <c r="E18" s="29">
        <f t="shared" si="3"/>
        <v>15</v>
      </c>
      <c r="F18" s="48">
        <f t="shared" si="0"/>
        <v>8</v>
      </c>
      <c r="G18" s="117">
        <f t="shared" si="4"/>
        <v>2</v>
      </c>
      <c r="H18" s="120">
        <f t="shared" si="5"/>
        <v>30</v>
      </c>
      <c r="I18" s="30">
        <f t="shared" si="6"/>
        <v>8</v>
      </c>
      <c r="J18" s="124">
        <f t="shared" si="7"/>
        <v>10</v>
      </c>
      <c r="K18" s="49">
        <f t="shared" si="8"/>
        <v>1</v>
      </c>
      <c r="L18" s="129" t="str">
        <f t="shared" si="1"/>
        <v>Shark</v>
      </c>
      <c r="M18" s="47"/>
      <c r="N18" s="34"/>
      <c r="O18" s="100"/>
      <c r="P18" s="100"/>
      <c r="Q18" s="100"/>
      <c r="R18" s="100"/>
      <c r="S18" s="200">
        <v>0</v>
      </c>
      <c r="T18" s="200">
        <v>0</v>
      </c>
      <c r="U18" s="100"/>
      <c r="V18" s="200">
        <v>0</v>
      </c>
      <c r="W18" s="100"/>
      <c r="X18" s="100"/>
      <c r="Y18" s="100"/>
      <c r="Z18" s="100"/>
      <c r="AA18" s="100"/>
      <c r="AB18" s="100"/>
      <c r="AC18" s="100"/>
      <c r="AD18" s="101"/>
      <c r="AE18" s="34"/>
    </row>
    <row r="19" spans="1:31" x14ac:dyDescent="0.25">
      <c r="A19" s="34"/>
      <c r="B19" s="50" t="s">
        <v>77</v>
      </c>
      <c r="C19" s="34">
        <f>12/(IF($J$36="Yes",1,0)+1)*(IF($J$39="Yes",1,0)+1)</f>
        <v>12</v>
      </c>
      <c r="D19" s="34">
        <f t="shared" si="2"/>
        <v>6</v>
      </c>
      <c r="E19" s="25">
        <f t="shared" si="3"/>
        <v>6</v>
      </c>
      <c r="F19" s="46">
        <f t="shared" si="0"/>
        <v>3</v>
      </c>
      <c r="G19" s="26">
        <f t="shared" si="4"/>
        <v>1</v>
      </c>
      <c r="H19" s="27">
        <f t="shared" si="5"/>
        <v>12</v>
      </c>
      <c r="I19" s="138">
        <f t="shared" si="6"/>
        <v>3</v>
      </c>
      <c r="J19" s="28">
        <f t="shared" si="7"/>
        <v>4</v>
      </c>
      <c r="K19" s="126">
        <f t="shared" si="8"/>
        <v>1</v>
      </c>
      <c r="L19" s="50" t="str">
        <f t="shared" si="1"/>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78</v>
      </c>
      <c r="C20" s="113">
        <f>45/(IF($J$36="Yes",1,0)+1)*(IF($J$39="Yes",1,0)+1)</f>
        <v>45</v>
      </c>
      <c r="D20" s="113">
        <f t="shared" si="2"/>
        <v>23</v>
      </c>
      <c r="E20" s="29">
        <f t="shared" si="3"/>
        <v>23</v>
      </c>
      <c r="F20" s="48">
        <f t="shared" si="0"/>
        <v>12</v>
      </c>
      <c r="G20" s="117">
        <f t="shared" si="4"/>
        <v>3</v>
      </c>
      <c r="H20" s="120">
        <f t="shared" si="5"/>
        <v>45</v>
      </c>
      <c r="I20" s="30">
        <f t="shared" si="6"/>
        <v>12</v>
      </c>
      <c r="J20" s="124">
        <f t="shared" si="7"/>
        <v>15</v>
      </c>
      <c r="K20" s="49">
        <f t="shared" si="8"/>
        <v>2</v>
      </c>
      <c r="L20" s="129" t="str">
        <f t="shared" si="1"/>
        <v>Uzi Thug</v>
      </c>
      <c r="M20" s="47"/>
      <c r="N20" s="34"/>
      <c r="O20" s="100"/>
      <c r="P20" s="100"/>
      <c r="Q20" s="100"/>
      <c r="R20" s="100"/>
      <c r="S20" s="100"/>
      <c r="T20" s="100"/>
      <c r="U20" s="100"/>
      <c r="V20" s="100"/>
      <c r="W20" s="100"/>
      <c r="X20" s="200">
        <v>0</v>
      </c>
      <c r="Y20" s="200">
        <v>0</v>
      </c>
      <c r="Z20" s="100"/>
      <c r="AA20" s="100"/>
      <c r="AB20" s="100"/>
      <c r="AC20" s="100"/>
      <c r="AD20" s="101"/>
      <c r="AE20" s="34"/>
    </row>
    <row r="21" spans="1:31" x14ac:dyDescent="0.25">
      <c r="A21" s="34"/>
      <c r="B21" s="50" t="s">
        <v>80</v>
      </c>
      <c r="C21" s="34">
        <f>50/(IF($J$36="Yes",1,0)+1)*(IF($J$39="Yes",1,0)+1)</f>
        <v>50</v>
      </c>
      <c r="D21" s="34">
        <f t="shared" si="2"/>
        <v>25</v>
      </c>
      <c r="E21" s="25">
        <f t="shared" si="3"/>
        <v>25</v>
      </c>
      <c r="F21" s="46">
        <f t="shared" si="0"/>
        <v>13</v>
      </c>
      <c r="G21" s="26">
        <f t="shared" si="4"/>
        <v>3</v>
      </c>
      <c r="H21" s="27">
        <f t="shared" si="5"/>
        <v>50</v>
      </c>
      <c r="I21" s="138">
        <f t="shared" si="6"/>
        <v>13</v>
      </c>
      <c r="J21" s="28">
        <f t="shared" si="7"/>
        <v>17</v>
      </c>
      <c r="K21" s="126">
        <f t="shared" si="8"/>
        <v>2</v>
      </c>
      <c r="L21" s="50" t="str">
        <f t="shared" si="1"/>
        <v>Burst Pistol Thug</v>
      </c>
      <c r="M21" s="47"/>
      <c r="N21" s="34"/>
      <c r="O21" s="99"/>
      <c r="P21" s="99"/>
      <c r="Q21" s="99"/>
      <c r="R21" s="99"/>
      <c r="S21" s="99"/>
      <c r="T21" s="99"/>
      <c r="U21" s="99"/>
      <c r="V21" s="99"/>
      <c r="W21" s="99">
        <v>0</v>
      </c>
      <c r="X21" s="99">
        <v>0</v>
      </c>
      <c r="Y21" s="99">
        <v>0</v>
      </c>
      <c r="Z21" s="99"/>
      <c r="AA21" s="99"/>
      <c r="AB21" s="99"/>
      <c r="AC21" s="99"/>
      <c r="AD21" s="101"/>
      <c r="AE21" s="34"/>
    </row>
    <row r="22" spans="1:31" x14ac:dyDescent="0.25">
      <c r="A22" s="34"/>
      <c r="B22" s="129" t="s">
        <v>81</v>
      </c>
      <c r="C22" s="113">
        <f>100/(IF($J$36="Yes",1,0)+1)*(IF($J$39="Yes",1,0)+1)</f>
        <v>100</v>
      </c>
      <c r="D22" s="113">
        <f t="shared" si="2"/>
        <v>50</v>
      </c>
      <c r="E22" s="29">
        <f t="shared" si="3"/>
        <v>50</v>
      </c>
      <c r="F22" s="48">
        <f t="shared" si="0"/>
        <v>25</v>
      </c>
      <c r="G22" s="117">
        <f t="shared" si="4"/>
        <v>6</v>
      </c>
      <c r="H22" s="120">
        <f t="shared" si="5"/>
        <v>100</v>
      </c>
      <c r="I22" s="30">
        <f t="shared" si="6"/>
        <v>25</v>
      </c>
      <c r="J22" s="124">
        <f t="shared" si="7"/>
        <v>34</v>
      </c>
      <c r="K22" s="49">
        <f t="shared" si="8"/>
        <v>4</v>
      </c>
      <c r="L22" s="129" t="str">
        <f t="shared" si="1"/>
        <v>Snowmobile Thug</v>
      </c>
      <c r="M22" s="47"/>
      <c r="N22" s="34"/>
      <c r="O22" s="100"/>
      <c r="P22" s="100"/>
      <c r="Q22" s="100"/>
      <c r="R22" s="100"/>
      <c r="S22" s="100"/>
      <c r="T22" s="100"/>
      <c r="U22" s="100"/>
      <c r="V22" s="100"/>
      <c r="W22" s="200">
        <v>1</v>
      </c>
      <c r="X22" s="100"/>
      <c r="Y22" s="100"/>
      <c r="Z22" s="100"/>
      <c r="AA22" s="100"/>
      <c r="AB22" s="100"/>
      <c r="AC22" s="100"/>
      <c r="AD22" s="101"/>
      <c r="AE22" s="34"/>
    </row>
    <row r="23" spans="1:31" x14ac:dyDescent="0.25">
      <c r="A23" s="34"/>
      <c r="B23" s="50" t="s">
        <v>82</v>
      </c>
      <c r="C23" s="34">
        <f>20/(IF($J$36="Yes",1,0)+1)*(IF($J$39="Yes",1,0)+1)</f>
        <v>20</v>
      </c>
      <c r="D23" s="34">
        <f t="shared" si="2"/>
        <v>10</v>
      </c>
      <c r="E23" s="25">
        <f t="shared" si="3"/>
        <v>10</v>
      </c>
      <c r="F23" s="46">
        <f t="shared" si="0"/>
        <v>5</v>
      </c>
      <c r="G23" s="26">
        <f t="shared" si="4"/>
        <v>2</v>
      </c>
      <c r="H23" s="27">
        <f t="shared" si="5"/>
        <v>20</v>
      </c>
      <c r="I23" s="138">
        <f t="shared" si="6"/>
        <v>5</v>
      </c>
      <c r="J23" s="28">
        <f t="shared" si="7"/>
        <v>7</v>
      </c>
      <c r="K23" s="126">
        <f t="shared" si="8"/>
        <v>1</v>
      </c>
      <c r="L23" s="50" t="str">
        <f t="shared" si="1"/>
        <v>Snow Leopard</v>
      </c>
      <c r="M23" s="47"/>
      <c r="N23" s="34"/>
      <c r="O23" s="99"/>
      <c r="P23" s="99"/>
      <c r="Q23" s="99"/>
      <c r="R23" s="99"/>
      <c r="S23" s="99"/>
      <c r="T23" s="99"/>
      <c r="U23" s="99"/>
      <c r="V23" s="99"/>
      <c r="W23" s="99">
        <v>0</v>
      </c>
      <c r="X23" s="99"/>
      <c r="Y23" s="99">
        <v>0</v>
      </c>
      <c r="Z23" s="99"/>
      <c r="AA23" s="99"/>
      <c r="AB23" s="99"/>
      <c r="AC23" s="99"/>
      <c r="AD23" s="101"/>
      <c r="AE23" s="34"/>
    </row>
    <row r="24" spans="1:31" x14ac:dyDescent="0.25">
      <c r="A24" s="34"/>
      <c r="B24" s="129" t="s">
        <v>83</v>
      </c>
      <c r="C24" s="113">
        <f>30/(IF($J$36="Yes",1,0)+1)*(IF($J$39="Yes",1,0)+1)</f>
        <v>30</v>
      </c>
      <c r="D24" s="113">
        <f t="shared" si="2"/>
        <v>15</v>
      </c>
      <c r="E24" s="29">
        <f t="shared" si="3"/>
        <v>15</v>
      </c>
      <c r="F24" s="48">
        <f t="shared" si="0"/>
        <v>8</v>
      </c>
      <c r="G24" s="117">
        <f t="shared" si="4"/>
        <v>2</v>
      </c>
      <c r="H24" s="120">
        <f t="shared" si="5"/>
        <v>30</v>
      </c>
      <c r="I24" s="30">
        <f t="shared" si="6"/>
        <v>8</v>
      </c>
      <c r="J24" s="124">
        <f t="shared" si="7"/>
        <v>10</v>
      </c>
      <c r="K24" s="49">
        <f t="shared" si="8"/>
        <v>1</v>
      </c>
      <c r="L24" s="129" t="str">
        <f t="shared" si="1"/>
        <v>Monastery Monk</v>
      </c>
      <c r="M24" s="47"/>
      <c r="N24" s="34"/>
      <c r="O24" s="100"/>
      <c r="P24" s="100"/>
      <c r="Q24" s="100"/>
      <c r="R24" s="100"/>
      <c r="S24" s="100"/>
      <c r="T24" s="100"/>
      <c r="U24" s="100"/>
      <c r="V24" s="100"/>
      <c r="W24" s="100"/>
      <c r="X24" s="200">
        <v>0</v>
      </c>
      <c r="Y24" s="100"/>
      <c r="Z24" s="100"/>
      <c r="AA24" s="100"/>
      <c r="AB24" s="100"/>
      <c r="AC24" s="100"/>
      <c r="AD24" s="101"/>
      <c r="AE24" s="34"/>
    </row>
    <row r="25" spans="1:31" x14ac:dyDescent="0.25">
      <c r="A25" s="34"/>
      <c r="B25" s="50" t="s">
        <v>85</v>
      </c>
      <c r="C25" s="34">
        <f>12/(IF($J$36="Yes",1,0)+1)*(IF($J$39="Yes",1,0)+1)</f>
        <v>12</v>
      </c>
      <c r="D25" s="34">
        <f t="shared" si="2"/>
        <v>6</v>
      </c>
      <c r="E25" s="25">
        <f t="shared" si="3"/>
        <v>6</v>
      </c>
      <c r="F25" s="46">
        <f t="shared" si="0"/>
        <v>3</v>
      </c>
      <c r="G25" s="26">
        <f t="shared" si="4"/>
        <v>1</v>
      </c>
      <c r="H25" s="27">
        <f t="shared" si="5"/>
        <v>12</v>
      </c>
      <c r="I25" s="138">
        <f t="shared" si="6"/>
        <v>3</v>
      </c>
      <c r="J25" s="28">
        <f t="shared" si="7"/>
        <v>4</v>
      </c>
      <c r="K25" s="126">
        <f t="shared" si="8"/>
        <v>1</v>
      </c>
      <c r="L25" s="50" t="str">
        <f t="shared" si="1"/>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87</v>
      </c>
      <c r="C26" s="113">
        <f>30/(IF($J$36="Yes",1,0)+1)*(IF($J$39="Yes",1,0)+1)</f>
        <v>30</v>
      </c>
      <c r="D26" s="113">
        <f t="shared" si="2"/>
        <v>15</v>
      </c>
      <c r="E26" s="29">
        <f t="shared" si="3"/>
        <v>15</v>
      </c>
      <c r="F26" s="48">
        <f t="shared" si="0"/>
        <v>8</v>
      </c>
      <c r="G26" s="117">
        <f t="shared" si="4"/>
        <v>2</v>
      </c>
      <c r="H26" s="120">
        <f t="shared" si="5"/>
        <v>30</v>
      </c>
      <c r="I26" s="30">
        <f t="shared" si="6"/>
        <v>8</v>
      </c>
      <c r="J26" s="124">
        <f t="shared" si="7"/>
        <v>10</v>
      </c>
      <c r="K26" s="49">
        <f t="shared" si="8"/>
        <v>1</v>
      </c>
      <c r="L26" s="129" t="str">
        <f t="shared" si="1"/>
        <v>Yeti</v>
      </c>
      <c r="M26" s="47"/>
      <c r="N26" s="34"/>
      <c r="O26" s="100"/>
      <c r="P26" s="100"/>
      <c r="Q26" s="100"/>
      <c r="R26" s="100"/>
      <c r="S26" s="100"/>
      <c r="T26" s="100"/>
      <c r="U26" s="100"/>
      <c r="V26" s="100"/>
      <c r="W26" s="100"/>
      <c r="X26" s="100"/>
      <c r="Y26" s="200">
        <v>0</v>
      </c>
      <c r="Z26" s="200">
        <v>0</v>
      </c>
      <c r="AA26" s="100"/>
      <c r="AB26" s="100"/>
      <c r="AC26" s="100"/>
      <c r="AD26" s="101"/>
      <c r="AE26" s="34"/>
    </row>
    <row r="27" spans="1:31" x14ac:dyDescent="0.25">
      <c r="A27" s="34"/>
      <c r="B27" s="50" t="s">
        <v>88</v>
      </c>
      <c r="C27" s="34">
        <f>200/(IF($J$36="Yes",1,0)+1)*(IF($J$39="Yes",1,0)+1)</f>
        <v>200</v>
      </c>
      <c r="D27" s="34">
        <f t="shared" si="2"/>
        <v>100</v>
      </c>
      <c r="E27" s="25">
        <f t="shared" si="3"/>
        <v>100</v>
      </c>
      <c r="F27" s="46">
        <f t="shared" si="0"/>
        <v>50</v>
      </c>
      <c r="G27" s="26">
        <f t="shared" si="4"/>
        <v>12</v>
      </c>
      <c r="H27" s="27">
        <f t="shared" si="5"/>
        <v>200</v>
      </c>
      <c r="I27" s="138">
        <f t="shared" si="6"/>
        <v>50</v>
      </c>
      <c r="J27" s="28">
        <f t="shared" si="7"/>
        <v>67</v>
      </c>
      <c r="K27" s="126">
        <f t="shared" si="8"/>
        <v>7</v>
      </c>
      <c r="L27" s="50" t="str">
        <f t="shared" si="1"/>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90</v>
      </c>
      <c r="C28" s="113">
        <f>20/(IF($J$36="Yes",1,0)+1)*(IF($J$39="Yes",1,0)+1)</f>
        <v>20</v>
      </c>
      <c r="D28" s="113">
        <f t="shared" si="2"/>
        <v>10</v>
      </c>
      <c r="E28" s="29">
        <f t="shared" si="3"/>
        <v>10</v>
      </c>
      <c r="F28" s="48">
        <f t="shared" si="0"/>
        <v>5</v>
      </c>
      <c r="G28" s="117">
        <f t="shared" si="4"/>
        <v>2</v>
      </c>
      <c r="H28" s="120">
        <f t="shared" si="5"/>
        <v>20</v>
      </c>
      <c r="I28" s="30">
        <f t="shared" si="6"/>
        <v>5</v>
      </c>
      <c r="J28" s="124">
        <f t="shared" si="7"/>
        <v>7</v>
      </c>
      <c r="K28" s="49">
        <f t="shared" si="8"/>
        <v>1</v>
      </c>
      <c r="L28" s="129" t="str">
        <f t="shared" si="1"/>
        <v>Eagle</v>
      </c>
      <c r="M28" s="47"/>
      <c r="N28" s="34"/>
      <c r="O28" s="100"/>
      <c r="P28" s="100"/>
      <c r="Q28" s="100"/>
      <c r="R28" s="100"/>
      <c r="S28" s="100"/>
      <c r="T28" s="100"/>
      <c r="U28" s="100"/>
      <c r="V28" s="100"/>
      <c r="W28" s="200">
        <v>1</v>
      </c>
      <c r="X28" s="100"/>
      <c r="Y28" s="100"/>
      <c r="Z28" s="100"/>
      <c r="AA28" s="200">
        <v>2</v>
      </c>
      <c r="AB28" s="100"/>
      <c r="AC28" s="100"/>
      <c r="AD28" s="101"/>
      <c r="AE28" s="34"/>
    </row>
    <row r="29" spans="1:31" x14ac:dyDescent="0.25">
      <c r="A29" s="34"/>
      <c r="B29" s="50" t="s">
        <v>91</v>
      </c>
      <c r="C29" s="34">
        <f>40/(IF($J$36="Yes",1,0)+1)*(IF($J$39="Yes",1,0)+1)</f>
        <v>40</v>
      </c>
      <c r="D29" s="34">
        <f t="shared" si="2"/>
        <v>20</v>
      </c>
      <c r="E29" s="25">
        <f t="shared" si="3"/>
        <v>20</v>
      </c>
      <c r="F29" s="46">
        <f t="shared" si="0"/>
        <v>10</v>
      </c>
      <c r="G29" s="26">
        <f t="shared" si="4"/>
        <v>3</v>
      </c>
      <c r="H29" s="27">
        <f t="shared" si="5"/>
        <v>40</v>
      </c>
      <c r="I29" s="138">
        <f t="shared" si="6"/>
        <v>10</v>
      </c>
      <c r="J29" s="28">
        <f t="shared" si="7"/>
        <v>14</v>
      </c>
      <c r="K29" s="126">
        <f t="shared" si="8"/>
        <v>2</v>
      </c>
      <c r="L29" s="50" t="str">
        <f t="shared" si="1"/>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93</v>
      </c>
      <c r="C30" s="113">
        <f>80/(IF($J$36="Yes",1,0)+1)*(IF($J$39="Yes",1,0)+1)</f>
        <v>80</v>
      </c>
      <c r="D30" s="113">
        <f t="shared" si="2"/>
        <v>40</v>
      </c>
      <c r="E30" s="29">
        <f t="shared" si="3"/>
        <v>40</v>
      </c>
      <c r="F30" s="48">
        <f t="shared" si="0"/>
        <v>20</v>
      </c>
      <c r="G30" s="117">
        <f t="shared" si="4"/>
        <v>5</v>
      </c>
      <c r="H30" s="120">
        <f t="shared" si="5"/>
        <v>80</v>
      </c>
      <c r="I30" s="30">
        <f t="shared" si="6"/>
        <v>20</v>
      </c>
      <c r="J30" s="124">
        <f t="shared" si="7"/>
        <v>27</v>
      </c>
      <c r="K30" s="49">
        <f t="shared" si="8"/>
        <v>3</v>
      </c>
      <c r="L30" s="129" t="str">
        <f t="shared" si="1"/>
        <v>Sword Statue</v>
      </c>
      <c r="M30" s="47"/>
      <c r="N30" s="34"/>
      <c r="O30" s="100"/>
      <c r="P30" s="100"/>
      <c r="Q30" s="100"/>
      <c r="R30" s="100"/>
      <c r="S30" s="100"/>
      <c r="T30" s="100"/>
      <c r="U30" s="100"/>
      <c r="V30" s="100"/>
      <c r="W30" s="100"/>
      <c r="X30" s="100"/>
      <c r="Y30" s="100"/>
      <c r="Z30" s="100"/>
      <c r="AA30" s="100"/>
      <c r="AB30" s="200">
        <v>0</v>
      </c>
      <c r="AC30" s="100"/>
      <c r="AD30" s="101"/>
      <c r="AE30" s="34"/>
    </row>
    <row r="31" spans="1:31" x14ac:dyDescent="0.25">
      <c r="A31" s="34"/>
      <c r="B31" s="50" t="s">
        <v>94</v>
      </c>
      <c r="C31" s="34">
        <f>100/(IF($J$36="Yes",1,0)+1)*(IF($J$39="Yes",1,0)+1)</f>
        <v>100</v>
      </c>
      <c r="D31" s="34">
        <f t="shared" si="2"/>
        <v>50</v>
      </c>
      <c r="E31" s="25">
        <f t="shared" si="3"/>
        <v>50</v>
      </c>
      <c r="F31" s="46">
        <f t="shared" si="0"/>
        <v>25</v>
      </c>
      <c r="G31" s="26">
        <f t="shared" si="4"/>
        <v>6</v>
      </c>
      <c r="H31" s="27">
        <f t="shared" si="5"/>
        <v>100</v>
      </c>
      <c r="I31" s="138">
        <f t="shared" si="6"/>
        <v>25</v>
      </c>
      <c r="J31" s="28">
        <f t="shared" si="7"/>
        <v>34</v>
      </c>
      <c r="K31" s="126">
        <f t="shared" si="8"/>
        <v>4</v>
      </c>
      <c r="L31" s="50" t="str">
        <f t="shared" si="1"/>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95</v>
      </c>
      <c r="C32" s="113">
        <f>60/(IF($J$36="Yes",1,0)+1)*(IF($J$39="Yes",1,0)+1)</f>
        <v>60</v>
      </c>
      <c r="D32" s="113">
        <f t="shared" si="2"/>
        <v>30</v>
      </c>
      <c r="E32" s="29">
        <f t="shared" si="3"/>
        <v>30</v>
      </c>
      <c r="F32" s="48">
        <f t="shared" si="0"/>
        <v>15</v>
      </c>
      <c r="G32" s="119">
        <f t="shared" si="4"/>
        <v>4</v>
      </c>
      <c r="H32" s="120">
        <f t="shared" si="5"/>
        <v>60</v>
      </c>
      <c r="I32" s="30">
        <f t="shared" si="6"/>
        <v>15</v>
      </c>
      <c r="J32" s="124">
        <f t="shared" si="7"/>
        <v>20</v>
      </c>
      <c r="K32" s="49">
        <f t="shared" si="8"/>
        <v>2</v>
      </c>
      <c r="L32" s="129" t="str">
        <f t="shared" si="1"/>
        <v>Bartoli's Monk</v>
      </c>
      <c r="M32" s="47"/>
      <c r="N32" s="34"/>
      <c r="O32" s="100"/>
      <c r="P32" s="100"/>
      <c r="Q32" s="100"/>
      <c r="R32" s="100"/>
      <c r="S32" s="100"/>
      <c r="T32" s="100"/>
      <c r="U32" s="100"/>
      <c r="V32" s="100"/>
      <c r="W32" s="100"/>
      <c r="X32" s="100"/>
      <c r="Y32" s="100"/>
      <c r="Z32" s="100"/>
      <c r="AA32" s="100"/>
      <c r="AB32" s="200">
        <v>0</v>
      </c>
      <c r="AC32" s="200">
        <v>1</v>
      </c>
      <c r="AD32" s="101"/>
      <c r="AE32" s="34"/>
    </row>
    <row r="33" spans="1:31" x14ac:dyDescent="0.25">
      <c r="A33" s="34"/>
      <c r="B33" s="51" t="s">
        <v>54</v>
      </c>
      <c r="C33" s="52">
        <f>300/(IF($J$36="Yes",1,0)+1)*(IF($J$39="Yes",1,0)+1)</f>
        <v>300</v>
      </c>
      <c r="D33" s="53">
        <f t="shared" si="2"/>
        <v>150</v>
      </c>
      <c r="E33" s="54">
        <f t="shared" si="3"/>
        <v>150</v>
      </c>
      <c r="F33" s="55">
        <f t="shared" si="0"/>
        <v>75</v>
      </c>
      <c r="G33" s="56">
        <f t="shared" si="4"/>
        <v>17</v>
      </c>
      <c r="H33" s="57">
        <f t="shared" si="5"/>
        <v>300</v>
      </c>
      <c r="I33" s="139">
        <f t="shared" si="6"/>
        <v>75</v>
      </c>
      <c r="J33" s="58">
        <f t="shared" si="7"/>
        <v>100</v>
      </c>
      <c r="K33" s="127">
        <f t="shared" si="8"/>
        <v>10</v>
      </c>
      <c r="L33" s="130" t="str">
        <f t="shared" si="1"/>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99</v>
      </c>
      <c r="M34" s="179" t="s">
        <v>134</v>
      </c>
      <c r="N34" s="180" t="s">
        <v>134</v>
      </c>
      <c r="O34" s="180" t="s">
        <v>134</v>
      </c>
      <c r="P34" s="180" t="s">
        <v>134</v>
      </c>
      <c r="Q34" s="180" t="s">
        <v>134</v>
      </c>
      <c r="R34" s="180" t="s">
        <v>134</v>
      </c>
      <c r="S34" s="180" t="s">
        <v>134</v>
      </c>
      <c r="T34" s="180" t="s">
        <v>134</v>
      </c>
      <c r="U34" s="180" t="s">
        <v>134</v>
      </c>
      <c r="V34" s="180" t="s">
        <v>134</v>
      </c>
      <c r="W34" s="180" t="s">
        <v>134</v>
      </c>
      <c r="X34" s="180" t="s">
        <v>134</v>
      </c>
      <c r="Y34" s="180" t="s">
        <v>134</v>
      </c>
      <c r="Z34" s="180" t="s">
        <v>134</v>
      </c>
      <c r="AA34" s="180" t="s">
        <v>134</v>
      </c>
      <c r="AB34" s="180" t="s">
        <v>134</v>
      </c>
      <c r="AC34" s="180" t="s">
        <v>100</v>
      </c>
      <c r="AD34" s="181" t="s">
        <v>100</v>
      </c>
      <c r="AE34" s="34"/>
    </row>
    <row r="35" spans="1:31" x14ac:dyDescent="0.25">
      <c r="A35" s="59"/>
      <c r="B35" s="368" t="s">
        <v>101</v>
      </c>
      <c r="C35" s="109" t="s">
        <v>15</v>
      </c>
      <c r="D35" s="61" t="s">
        <v>16</v>
      </c>
      <c r="E35" s="62" t="s">
        <v>155</v>
      </c>
      <c r="F35" s="63" t="s">
        <v>35</v>
      </c>
      <c r="G35" s="64" t="s">
        <v>20</v>
      </c>
      <c r="H35" s="128" t="s">
        <v>38</v>
      </c>
      <c r="I35" s="34"/>
      <c r="J35" s="177" t="s">
        <v>102</v>
      </c>
      <c r="K35" s="34"/>
      <c r="L35" s="65" t="s">
        <v>103</v>
      </c>
      <c r="M35" s="362" t="s">
        <v>104</v>
      </c>
      <c r="N35" s="316"/>
      <c r="O35" s="316"/>
      <c r="P35" s="316"/>
      <c r="Q35" s="316"/>
      <c r="R35" s="316"/>
      <c r="S35" s="316"/>
      <c r="T35" s="316"/>
      <c r="U35" s="316"/>
      <c r="V35" s="316"/>
      <c r="W35" s="316"/>
      <c r="X35" s="316"/>
      <c r="Y35" s="316"/>
      <c r="Z35" s="316"/>
      <c r="AA35" s="316"/>
      <c r="AB35" s="316"/>
      <c r="AC35" s="316"/>
      <c r="AD35" s="317"/>
      <c r="AE35" s="34"/>
    </row>
    <row r="36" spans="1:31" x14ac:dyDescent="0.25">
      <c r="A36" s="59"/>
      <c r="B36" s="339"/>
      <c r="C36" s="29">
        <v>40</v>
      </c>
      <c r="D36" s="118">
        <v>2</v>
      </c>
      <c r="E36" s="122">
        <v>80</v>
      </c>
      <c r="F36" s="66">
        <v>3</v>
      </c>
      <c r="G36" s="131">
        <v>40</v>
      </c>
      <c r="H36" s="67">
        <v>2</v>
      </c>
      <c r="I36" s="34"/>
      <c r="J36" s="178" t="s">
        <v>132</v>
      </c>
      <c r="K36" s="34"/>
      <c r="L36" s="68" t="s">
        <v>105</v>
      </c>
      <c r="M36" s="69">
        <f>M5*$D$5+M6*$D$6+M7*$D$7+M8*$D$8</f>
        <v>20</v>
      </c>
      <c r="N36" s="69">
        <f t="shared" ref="N36:O36" si="9">N9*$D$9+N10*$D$10+N11*$D$11+N12*$D$12</f>
        <v>0</v>
      </c>
      <c r="O36" s="69">
        <f t="shared" si="9"/>
        <v>45</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27</v>
      </c>
      <c r="V36" s="69">
        <f>V11*$D$11+V14*$D$14+V16*$D$16+V17*$D$17+V18*$D$18+V19*$D$19</f>
        <v>34</v>
      </c>
      <c r="W36" s="69">
        <f>W21*$D$21+W22*$D$22+W23*$D$23+W28*$D$28</f>
        <v>60</v>
      </c>
      <c r="X36" s="69">
        <f>X6*$D$6+X20*$D$20+X21*$D$21+X24*$D$24</f>
        <v>0</v>
      </c>
      <c r="Y36" s="69">
        <f>Y20*$D$20+Y21*$D$21+Y23*$D$23+Y25*$D$25+Y26*$D$26</f>
        <v>0</v>
      </c>
      <c r="Z36" s="69">
        <f>Z5*$D$5+Z25*$D$25+Z26*$D$26+Z27*$D$27</f>
        <v>130</v>
      </c>
      <c r="AA36" s="69">
        <f>AA5*$D$5+AA7*$D$7+AA25*$D$25+AA28*$D$28+AA29*$D$29</f>
        <v>20</v>
      </c>
      <c r="AB36" s="69">
        <f>AB30*$D$30+AB31*$D$31+AB32*$D$32</f>
        <v>0</v>
      </c>
      <c r="AC36" s="69">
        <f>AC31*$D$31+AC32*$D$32+AC33*$D$33</f>
        <v>230</v>
      </c>
      <c r="AD36" s="70" t="s">
        <v>100</v>
      </c>
      <c r="AE36" s="34"/>
    </row>
    <row r="37" spans="1:31" x14ac:dyDescent="0.25">
      <c r="A37" s="34"/>
      <c r="B37" s="369" t="s">
        <v>106</v>
      </c>
      <c r="C37" s="366"/>
      <c r="D37" s="366"/>
      <c r="E37" s="366"/>
      <c r="F37" s="366"/>
      <c r="G37" s="366"/>
      <c r="H37" s="367"/>
      <c r="I37" s="34"/>
      <c r="J37" s="71"/>
      <c r="K37" s="34"/>
      <c r="L37" s="72" t="s">
        <v>107</v>
      </c>
      <c r="M37" s="46" t="s">
        <v>100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73" t="s">
        <v>100</v>
      </c>
      <c r="AE37" s="34"/>
    </row>
    <row r="38" spans="1:31" x14ac:dyDescent="0.25">
      <c r="A38" s="34"/>
      <c r="B38" s="365" t="s">
        <v>108</v>
      </c>
      <c r="C38" s="366"/>
      <c r="D38" s="366"/>
      <c r="E38" s="366"/>
      <c r="F38" s="366"/>
      <c r="G38" s="366"/>
      <c r="H38" s="367"/>
      <c r="I38" s="34"/>
      <c r="J38" s="177" t="s">
        <v>109</v>
      </c>
      <c r="K38" s="34"/>
      <c r="L38" s="26" t="s">
        <v>110</v>
      </c>
      <c r="M38" s="74">
        <v>0</v>
      </c>
      <c r="N38" s="74">
        <v>0</v>
      </c>
      <c r="O38" s="74">
        <v>0</v>
      </c>
      <c r="P38" s="74">
        <v>0</v>
      </c>
      <c r="Q38" s="74">
        <v>0</v>
      </c>
      <c r="R38" s="74">
        <v>0</v>
      </c>
      <c r="S38" s="74">
        <v>0</v>
      </c>
      <c r="T38" s="74">
        <v>0</v>
      </c>
      <c r="U38" s="74">
        <v>0</v>
      </c>
      <c r="V38" s="74">
        <v>0</v>
      </c>
      <c r="W38" s="74">
        <v>0</v>
      </c>
      <c r="X38" s="74">
        <v>0</v>
      </c>
      <c r="Y38" s="74">
        <v>0</v>
      </c>
      <c r="Z38" s="74">
        <v>0</v>
      </c>
      <c r="AA38" s="74">
        <v>0</v>
      </c>
      <c r="AB38" s="74">
        <v>0</v>
      </c>
      <c r="AC38" s="74">
        <v>0</v>
      </c>
      <c r="AD38" s="75">
        <f>AD10+(AD11+AD12)*2+9</f>
        <v>35</v>
      </c>
      <c r="AE38" s="34"/>
    </row>
    <row r="39" spans="1:31" x14ac:dyDescent="0.25">
      <c r="A39" s="34"/>
      <c r="B39" s="365" t="s">
        <v>137</v>
      </c>
      <c r="C39" s="366"/>
      <c r="D39" s="366"/>
      <c r="E39" s="366"/>
      <c r="F39" s="366"/>
      <c r="G39" s="366"/>
      <c r="H39" s="367"/>
      <c r="I39" s="34"/>
      <c r="J39" s="178" t="s">
        <v>132</v>
      </c>
      <c r="K39" s="34"/>
      <c r="L39" s="76" t="s">
        <v>111</v>
      </c>
      <c r="M39" s="77" t="s">
        <v>100</v>
      </c>
      <c r="N39" s="77" t="s">
        <v>100</v>
      </c>
      <c r="O39" s="77">
        <v>0</v>
      </c>
      <c r="P39" s="77">
        <v>0</v>
      </c>
      <c r="Q39" s="77">
        <v>0</v>
      </c>
      <c r="R39" s="77">
        <v>0</v>
      </c>
      <c r="S39" s="77">
        <v>0</v>
      </c>
      <c r="T39" s="77">
        <v>0</v>
      </c>
      <c r="U39" s="77">
        <v>0</v>
      </c>
      <c r="V39" s="77">
        <v>0</v>
      </c>
      <c r="W39" s="77">
        <v>0</v>
      </c>
      <c r="X39" s="77">
        <v>0</v>
      </c>
      <c r="Y39" s="77">
        <v>0</v>
      </c>
      <c r="Z39" s="77">
        <v>0</v>
      </c>
      <c r="AA39" s="77">
        <v>0</v>
      </c>
      <c r="AB39" s="77">
        <v>0</v>
      </c>
      <c r="AC39" s="77">
        <v>0</v>
      </c>
      <c r="AD39" s="78" t="s">
        <v>100</v>
      </c>
      <c r="AE39" s="34"/>
    </row>
    <row r="40" spans="1:31" x14ac:dyDescent="0.25">
      <c r="A40" s="34"/>
      <c r="B40" s="365" t="s">
        <v>112</v>
      </c>
      <c r="C40" s="366"/>
      <c r="D40" s="366"/>
      <c r="E40" s="366"/>
      <c r="F40" s="366"/>
      <c r="G40" s="366"/>
      <c r="H40" s="367"/>
      <c r="I40" s="34"/>
      <c r="J40" s="34"/>
      <c r="K40" s="34"/>
      <c r="L40" s="254" t="s">
        <v>35</v>
      </c>
      <c r="M40" s="255" t="s">
        <v>100</v>
      </c>
      <c r="N40" s="255" t="s">
        <v>100</v>
      </c>
      <c r="O40" s="255" t="s">
        <v>100</v>
      </c>
      <c r="P40" s="255" t="s">
        <v>100</v>
      </c>
      <c r="Q40" s="255">
        <v>0</v>
      </c>
      <c r="R40" s="255">
        <v>0</v>
      </c>
      <c r="S40" s="255">
        <v>0</v>
      </c>
      <c r="T40" s="255">
        <v>0</v>
      </c>
      <c r="U40" s="255">
        <v>0</v>
      </c>
      <c r="V40" s="255">
        <v>0</v>
      </c>
      <c r="W40" s="255">
        <v>0</v>
      </c>
      <c r="X40" s="255">
        <v>0</v>
      </c>
      <c r="Y40" s="255">
        <v>0</v>
      </c>
      <c r="Z40" s="255">
        <v>0</v>
      </c>
      <c r="AA40" s="255">
        <v>0</v>
      </c>
      <c r="AB40" s="255">
        <v>0</v>
      </c>
      <c r="AC40" s="255">
        <v>0</v>
      </c>
      <c r="AD40" s="256" t="s">
        <v>100</v>
      </c>
      <c r="AE40" s="34"/>
    </row>
    <row r="41" spans="1:31" x14ac:dyDescent="0.25">
      <c r="A41" s="34"/>
      <c r="B41" s="358" t="s">
        <v>119</v>
      </c>
      <c r="C41" s="359"/>
      <c r="D41" s="359"/>
      <c r="E41" s="359"/>
      <c r="F41" s="359"/>
      <c r="G41" s="359"/>
      <c r="H41" s="360"/>
      <c r="I41" s="34"/>
      <c r="J41" s="177" t="s">
        <v>160</v>
      </c>
      <c r="K41" s="34"/>
      <c r="L41" s="80" t="s">
        <v>113</v>
      </c>
      <c r="M41" s="81" t="s">
        <v>100</v>
      </c>
      <c r="N41" s="81" t="s">
        <v>100</v>
      </c>
      <c r="O41" s="81" t="s">
        <v>100</v>
      </c>
      <c r="P41" s="81" t="s">
        <v>100</v>
      </c>
      <c r="Q41" s="81" t="s">
        <v>100</v>
      </c>
      <c r="R41" s="81">
        <v>0</v>
      </c>
      <c r="S41" s="82">
        <v>0</v>
      </c>
      <c r="T41" s="82">
        <v>0</v>
      </c>
      <c r="U41" s="82">
        <v>0</v>
      </c>
      <c r="V41" s="82">
        <v>0</v>
      </c>
      <c r="W41" s="82">
        <v>0</v>
      </c>
      <c r="X41" s="82">
        <v>0</v>
      </c>
      <c r="Y41" s="82">
        <v>0</v>
      </c>
      <c r="Z41" s="82">
        <v>0</v>
      </c>
      <c r="AA41" s="82">
        <v>0</v>
      </c>
      <c r="AB41" s="82">
        <v>0</v>
      </c>
      <c r="AC41" s="82">
        <v>0</v>
      </c>
      <c r="AD41" s="83" t="s">
        <v>100</v>
      </c>
      <c r="AE41" s="34"/>
    </row>
    <row r="42" spans="1:31" ht="15.75" customHeight="1" x14ac:dyDescent="0.25">
      <c r="A42" s="59"/>
      <c r="B42" s="345" t="s">
        <v>148</v>
      </c>
      <c r="C42" s="346"/>
      <c r="D42" s="346"/>
      <c r="E42" s="346"/>
      <c r="F42" s="346"/>
      <c r="G42" s="346"/>
      <c r="H42" s="347"/>
      <c r="I42" s="34"/>
      <c r="J42" s="178" t="s">
        <v>132</v>
      </c>
      <c r="K42" s="34"/>
      <c r="L42" s="140" t="s">
        <v>38</v>
      </c>
      <c r="M42" s="141">
        <v>0</v>
      </c>
      <c r="N42" s="141">
        <v>0</v>
      </c>
      <c r="O42" s="141">
        <v>0</v>
      </c>
      <c r="P42" s="141">
        <v>0</v>
      </c>
      <c r="Q42" s="141" t="s">
        <v>100</v>
      </c>
      <c r="R42" s="141" t="s">
        <v>100</v>
      </c>
      <c r="S42" s="141" t="s">
        <v>100</v>
      </c>
      <c r="T42" s="141">
        <v>0</v>
      </c>
      <c r="U42" s="141">
        <v>0</v>
      </c>
      <c r="V42" s="141">
        <v>0</v>
      </c>
      <c r="W42" s="141">
        <v>0</v>
      </c>
      <c r="X42" s="141">
        <v>0</v>
      </c>
      <c r="Y42" s="141">
        <v>0</v>
      </c>
      <c r="Z42" s="141">
        <v>0</v>
      </c>
      <c r="AA42" s="141">
        <v>0</v>
      </c>
      <c r="AB42" s="141">
        <v>0</v>
      </c>
      <c r="AC42" s="142">
        <f>K33</f>
        <v>10</v>
      </c>
      <c r="AD42" s="143" t="s">
        <v>100</v>
      </c>
      <c r="AE42" s="34"/>
    </row>
    <row r="43" spans="1:31" x14ac:dyDescent="0.25">
      <c r="A43" s="59"/>
      <c r="B43" s="348"/>
      <c r="C43" s="349"/>
      <c r="D43" s="349"/>
      <c r="E43" s="349"/>
      <c r="F43" s="349"/>
      <c r="G43" s="349"/>
      <c r="H43" s="350"/>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8"/>
      <c r="C44" s="349"/>
      <c r="D44" s="349"/>
      <c r="E44" s="349"/>
      <c r="F44" s="349"/>
      <c r="G44" s="349"/>
      <c r="H44" s="350"/>
      <c r="I44" s="34"/>
      <c r="J44" s="34"/>
      <c r="K44" s="34"/>
      <c r="L44" s="338" t="s">
        <v>7</v>
      </c>
      <c r="M44" s="341" t="s">
        <v>114</v>
      </c>
      <c r="N44" s="342"/>
      <c r="O44" s="342"/>
      <c r="P44" s="342"/>
      <c r="Q44" s="342"/>
      <c r="R44" s="342"/>
      <c r="S44" s="342"/>
      <c r="T44" s="342"/>
      <c r="U44" s="342"/>
      <c r="V44" s="342"/>
      <c r="W44" s="342"/>
      <c r="X44" s="342"/>
      <c r="Y44" s="342"/>
      <c r="Z44" s="342"/>
      <c r="AA44" s="342"/>
      <c r="AB44" s="342"/>
      <c r="AC44" s="342"/>
      <c r="AD44" s="343"/>
      <c r="AE44" s="34"/>
    </row>
    <row r="45" spans="1:31" x14ac:dyDescent="0.25">
      <c r="A45" s="59"/>
      <c r="B45" s="348"/>
      <c r="C45" s="349"/>
      <c r="D45" s="349"/>
      <c r="E45" s="349"/>
      <c r="F45" s="349"/>
      <c r="G45" s="349"/>
      <c r="H45" s="350"/>
      <c r="I45" s="34"/>
      <c r="J45" s="34"/>
      <c r="K45" s="34"/>
      <c r="L45" s="339"/>
      <c r="M45" s="337" t="s">
        <v>15</v>
      </c>
      <c r="N45" s="319"/>
      <c r="O45" s="319"/>
      <c r="P45" s="340" t="s">
        <v>16</v>
      </c>
      <c r="Q45" s="319"/>
      <c r="R45" s="319"/>
      <c r="S45" s="344" t="s">
        <v>17</v>
      </c>
      <c r="T45" s="319"/>
      <c r="U45" s="319"/>
      <c r="V45" s="370" t="s">
        <v>35</v>
      </c>
      <c r="W45" s="371"/>
      <c r="X45" s="372"/>
      <c r="Y45" s="336" t="s">
        <v>20</v>
      </c>
      <c r="Z45" s="319"/>
      <c r="AA45" s="319"/>
      <c r="AB45" s="373" t="s">
        <v>38</v>
      </c>
      <c r="AC45" s="374"/>
      <c r="AD45" s="375"/>
      <c r="AE45" s="34"/>
    </row>
    <row r="46" spans="1:31" x14ac:dyDescent="0.25">
      <c r="A46" s="59"/>
      <c r="B46" s="348"/>
      <c r="C46" s="349"/>
      <c r="D46" s="349"/>
      <c r="E46" s="349"/>
      <c r="F46" s="349"/>
      <c r="G46" s="349"/>
      <c r="H46" s="350"/>
      <c r="I46" s="34"/>
      <c r="J46" s="34"/>
      <c r="K46" s="34"/>
      <c r="L46" s="339"/>
      <c r="M46" s="208" t="s">
        <v>115</v>
      </c>
      <c r="N46" s="209" t="s">
        <v>36</v>
      </c>
      <c r="O46" s="209" t="s">
        <v>116</v>
      </c>
      <c r="P46" s="118" t="s">
        <v>115</v>
      </c>
      <c r="Q46" s="210" t="s">
        <v>36</v>
      </c>
      <c r="R46" s="133" t="s">
        <v>116</v>
      </c>
      <c r="S46" s="211" t="s">
        <v>115</v>
      </c>
      <c r="T46" s="211" t="s">
        <v>36</v>
      </c>
      <c r="U46" s="211" t="s">
        <v>116</v>
      </c>
      <c r="V46" s="93" t="s">
        <v>115</v>
      </c>
      <c r="W46" s="144" t="s">
        <v>36</v>
      </c>
      <c r="X46" s="66" t="s">
        <v>116</v>
      </c>
      <c r="Y46" s="212" t="s">
        <v>115</v>
      </c>
      <c r="Z46" s="212" t="s">
        <v>36</v>
      </c>
      <c r="AA46" s="212" t="s">
        <v>116</v>
      </c>
      <c r="AB46" s="84" t="s">
        <v>115</v>
      </c>
      <c r="AC46" s="213" t="s">
        <v>36</v>
      </c>
      <c r="AD46" s="214" t="s">
        <v>116</v>
      </c>
      <c r="AE46" s="34"/>
    </row>
    <row r="47" spans="1:31" x14ac:dyDescent="0.25">
      <c r="A47" s="59"/>
      <c r="B47" s="348"/>
      <c r="C47" s="349"/>
      <c r="D47" s="349"/>
      <c r="E47" s="349"/>
      <c r="F47" s="349"/>
      <c r="G47" s="349"/>
      <c r="H47" s="350"/>
      <c r="I47" s="34"/>
      <c r="J47" s="34"/>
      <c r="K47" s="34"/>
      <c r="L47" s="85" t="str">
        <f>M4</f>
        <v>Great Wall</v>
      </c>
      <c r="M47" s="215" t="str">
        <f>M37</f>
        <v>--</v>
      </c>
      <c r="N47" s="86">
        <v>0</v>
      </c>
      <c r="O47" s="86">
        <f>IF(ISNUMBER(N47),N47*$C$36,0)-IF(ISNUMBER(M47),M47,0)</f>
        <v>0</v>
      </c>
      <c r="P47" s="61">
        <f>M38</f>
        <v>0</v>
      </c>
      <c r="Q47" s="87">
        <v>1</v>
      </c>
      <c r="R47" s="88">
        <f>2+IF(ISNUMBER(Q47),Q47*$D$36,0)-IF(ISNUMBER(P47),P47,0)</f>
        <v>4</v>
      </c>
      <c r="S47" s="89" t="str">
        <f>M39</f>
        <v>--</v>
      </c>
      <c r="T47" s="89" t="s">
        <v>100</v>
      </c>
      <c r="U47" s="89" t="s">
        <v>100</v>
      </c>
      <c r="V47" s="90" t="s">
        <v>100</v>
      </c>
      <c r="W47" s="110" t="s">
        <v>100</v>
      </c>
      <c r="X47" s="63" t="s">
        <v>100</v>
      </c>
      <c r="Y47" s="91" t="s">
        <v>100</v>
      </c>
      <c r="Z47" s="91" t="s">
        <v>100</v>
      </c>
      <c r="AA47" s="91" t="s">
        <v>100</v>
      </c>
      <c r="AB47" s="134">
        <f>M42</f>
        <v>0</v>
      </c>
      <c r="AC47" s="135">
        <v>0</v>
      </c>
      <c r="AD47" s="216">
        <f>IF(ISNUMBER(AC47),AC47*$H$36,0)-IF(ISNUMBER(AB47),AB47,0)+IF(M$34="Yes",6,0)</f>
        <v>6</v>
      </c>
      <c r="AE47" s="34"/>
    </row>
    <row r="48" spans="1:31" x14ac:dyDescent="0.25">
      <c r="A48" s="59"/>
      <c r="B48" s="351"/>
      <c r="C48" s="352"/>
      <c r="D48" s="352"/>
      <c r="E48" s="352"/>
      <c r="F48" s="352"/>
      <c r="G48" s="352"/>
      <c r="H48" s="353"/>
      <c r="I48" s="34"/>
      <c r="J48" s="34"/>
      <c r="K48" s="34"/>
      <c r="L48" s="92" t="str">
        <f>N4</f>
        <v>Venice</v>
      </c>
      <c r="M48" s="208">
        <f>N37*2</f>
        <v>0</v>
      </c>
      <c r="N48" s="209">
        <v>0</v>
      </c>
      <c r="O48" s="209">
        <f>O47+IF(ISNUMBER(N48),N48*$C$36,0)-IF(ISNUMBER(M48),M48,0)+IF(N$34="Yes",160,0)</f>
        <v>160</v>
      </c>
      <c r="P48" s="118">
        <f>N38</f>
        <v>0</v>
      </c>
      <c r="Q48" s="210">
        <v>0</v>
      </c>
      <c r="R48" s="133">
        <f>R47+IF(ISNUMBER(Q48),Q48*$D$36,0)-IF(ISNUMBER(P48),P48,0)</f>
        <v>4</v>
      </c>
      <c r="S48" s="211" t="str">
        <f>N39</f>
        <v>--</v>
      </c>
      <c r="T48" s="211">
        <v>0</v>
      </c>
      <c r="U48" s="211">
        <f>IF(ISNUMBER(T48),T48*$E$36,0)-IF(ISNUMBER(S48),S48,0)</f>
        <v>0</v>
      </c>
      <c r="V48" s="93" t="s">
        <v>100</v>
      </c>
      <c r="W48" s="144" t="s">
        <v>100</v>
      </c>
      <c r="X48" s="66" t="s">
        <v>100</v>
      </c>
      <c r="Y48" s="212" t="s">
        <v>100</v>
      </c>
      <c r="Z48" s="212">
        <v>0</v>
      </c>
      <c r="AA48" s="212">
        <f>IF(ISNUMBER(Z48),Z48*$G$36,0)-IF(ISNUMBER(Y48),Y48,0)</f>
        <v>0</v>
      </c>
      <c r="AB48" s="84">
        <f>N42</f>
        <v>0</v>
      </c>
      <c r="AC48" s="213" t="s">
        <v>100</v>
      </c>
      <c r="AD48" s="214">
        <f>AD47+IF(ISNUMBER(AC48),AC48*$H$36,0)-IF(ISNUMBER(AB48),AB48,0)</f>
        <v>6</v>
      </c>
      <c r="AE48" s="34"/>
    </row>
    <row r="49" spans="1:31" x14ac:dyDescent="0.25">
      <c r="A49" s="34"/>
      <c r="B49" s="34"/>
      <c r="C49" s="34"/>
      <c r="D49" s="34"/>
      <c r="E49" s="34"/>
      <c r="F49" s="34"/>
      <c r="G49" s="34"/>
      <c r="H49" s="34"/>
      <c r="I49" s="34"/>
      <c r="J49" s="34"/>
      <c r="K49" s="34"/>
      <c r="L49" s="94" t="str">
        <f>O4</f>
        <v>Hideout</v>
      </c>
      <c r="M49" s="217">
        <f>O37*2</f>
        <v>0</v>
      </c>
      <c r="N49" s="218">
        <v>0</v>
      </c>
      <c r="O49" s="218">
        <f>O48+IF(ISNUMBER(N49),N49*$C$36,0)-IF(ISNUMBER(M49),M49,0)</f>
        <v>160</v>
      </c>
      <c r="P49" s="95">
        <f>O38</f>
        <v>0</v>
      </c>
      <c r="Q49" s="219">
        <v>1</v>
      </c>
      <c r="R49" s="75">
        <f>R48+IF(ISNUMBER(Q49),Q49*$D$36,0)-IF(ISNUMBER(P49),P49,0)+IF(O$34="Yes",8,0)</f>
        <v>14</v>
      </c>
      <c r="S49" s="220">
        <f>O39</f>
        <v>0</v>
      </c>
      <c r="T49" s="220">
        <v>0</v>
      </c>
      <c r="U49" s="220">
        <f>U48+IF(ISNUMBER(T49),T49*$E$36,0)-IF(ISNUMBER(S49),S49,0)</f>
        <v>0</v>
      </c>
      <c r="V49" s="96" t="s">
        <v>100</v>
      </c>
      <c r="W49" s="221" t="s">
        <v>100</v>
      </c>
      <c r="X49" s="79" t="s">
        <v>100</v>
      </c>
      <c r="Y49" s="222" t="s">
        <v>100</v>
      </c>
      <c r="Z49" s="222" t="s">
        <v>100</v>
      </c>
      <c r="AA49" s="222">
        <f>AA48+IF(ISNUMBER(Z49),Z49*$G$36,0)-IF(ISNUMBER(Y49),Y49,0)</f>
        <v>0</v>
      </c>
      <c r="AB49" s="136">
        <f>O42</f>
        <v>0</v>
      </c>
      <c r="AC49" s="223">
        <v>0</v>
      </c>
      <c r="AD49" s="224">
        <f t="shared" ref="AD49:AD63" si="10">AD48+IF(ISNUMBER(AC49),AC49*$H$36,0)-IF(ISNUMBER(AB49),AB49,0)</f>
        <v>6</v>
      </c>
      <c r="AE49" s="34"/>
    </row>
    <row r="50" spans="1:31" x14ac:dyDescent="0.25">
      <c r="A50" s="34"/>
      <c r="B50" s="34"/>
      <c r="C50" s="34"/>
      <c r="D50" s="34"/>
      <c r="E50" s="34"/>
      <c r="F50" s="34"/>
      <c r="G50" s="34"/>
      <c r="H50" s="34"/>
      <c r="I50" s="34"/>
      <c r="J50" s="34"/>
      <c r="K50" s="34"/>
      <c r="L50" s="92" t="str">
        <f>P4</f>
        <v>Opera</v>
      </c>
      <c r="M50" s="208">
        <f>P37*2</f>
        <v>0</v>
      </c>
      <c r="N50" s="209">
        <v>0</v>
      </c>
      <c r="O50" s="209">
        <f t="shared" ref="O50:O63" si="11">O49+IF(ISNUMBER(N50),N50*$C$36,0)-IF(ISNUMBER(M50),M50,0)</f>
        <v>160</v>
      </c>
      <c r="P50" s="118">
        <f>P38</f>
        <v>0</v>
      </c>
      <c r="Q50" s="210">
        <v>0</v>
      </c>
      <c r="R50" s="133">
        <f>R49+IF(ISNUMBER(Q50),Q50*$D$36,0)-IF(ISNUMBER(P50),P50,0)</f>
        <v>14</v>
      </c>
      <c r="S50" s="211">
        <f>P39</f>
        <v>0</v>
      </c>
      <c r="T50" s="211">
        <v>0</v>
      </c>
      <c r="U50" s="211">
        <f>U49+IF(ISNUMBER(T50),T50*$E$36,0)-IF(ISNUMBER(S50),S50,0)+IF(P$34="Yes",320,0)</f>
        <v>320</v>
      </c>
      <c r="V50" s="93" t="s">
        <v>100</v>
      </c>
      <c r="W50" s="144" t="s">
        <v>100</v>
      </c>
      <c r="X50" s="66" t="s">
        <v>100</v>
      </c>
      <c r="Y50" s="212" t="s">
        <v>100</v>
      </c>
      <c r="Z50" s="212" t="s">
        <v>100</v>
      </c>
      <c r="AA50" s="212">
        <f t="shared" ref="AA50:AA53" si="12">AA49+IF(ISNUMBER(Z50),Z50*$G$36,0)-IF(ISNUMBER(Y50),Y50,0)</f>
        <v>0</v>
      </c>
      <c r="AB50" s="84">
        <f>P42</f>
        <v>0</v>
      </c>
      <c r="AC50" s="213">
        <v>0</v>
      </c>
      <c r="AD50" s="214">
        <f t="shared" si="10"/>
        <v>6</v>
      </c>
      <c r="AE50" s="34"/>
    </row>
    <row r="51" spans="1:31" x14ac:dyDescent="0.25">
      <c r="A51" s="34"/>
      <c r="B51" s="34"/>
      <c r="C51" s="34"/>
      <c r="D51" s="34"/>
      <c r="E51" s="34"/>
      <c r="F51" s="34"/>
      <c r="G51" s="34"/>
      <c r="H51" s="34"/>
      <c r="I51" s="34"/>
      <c r="J51" s="34"/>
      <c r="K51" s="34"/>
      <c r="L51" s="94" t="str">
        <f>Q4</f>
        <v>Offshore</v>
      </c>
      <c r="M51" s="217">
        <f>Q37*2</f>
        <v>0</v>
      </c>
      <c r="N51" s="218">
        <v>2</v>
      </c>
      <c r="O51" s="218">
        <f t="shared" si="11"/>
        <v>240</v>
      </c>
      <c r="P51" s="95">
        <f>Q38</f>
        <v>0</v>
      </c>
      <c r="Q51" s="219">
        <v>0</v>
      </c>
      <c r="R51" s="75">
        <f t="shared" ref="R51:R63" si="13">R50+IF(ISNUMBER(Q51),Q51*$D$36,0)-IF(ISNUMBER(P51),P51,0)</f>
        <v>14</v>
      </c>
      <c r="S51" s="220">
        <f>Q39</f>
        <v>0</v>
      </c>
      <c r="T51" s="220">
        <v>0</v>
      </c>
      <c r="U51" s="220">
        <f>U50+IF(ISNUMBER(T51),T51*$E$36,0)-IF(ISNUMBER(S51),S51,0)+IF(Q$34="Yes",240,0)</f>
        <v>560</v>
      </c>
      <c r="V51" s="96">
        <f>Q40</f>
        <v>0</v>
      </c>
      <c r="W51" s="221">
        <v>0</v>
      </c>
      <c r="X51" s="79">
        <f>IF(ISNUMBER(W51),W51*$F$36,0)-IF(ISNUMBER(V51),V51,0)</f>
        <v>0</v>
      </c>
      <c r="Y51" s="222" t="s">
        <v>100</v>
      </c>
      <c r="Z51" s="222" t="s">
        <v>100</v>
      </c>
      <c r="AA51" s="222">
        <f t="shared" si="12"/>
        <v>0</v>
      </c>
      <c r="AB51" s="136" t="s">
        <v>100</v>
      </c>
      <c r="AC51" s="223" t="s">
        <v>100</v>
      </c>
      <c r="AD51" s="224">
        <f t="shared" si="10"/>
        <v>6</v>
      </c>
      <c r="AE51" s="34"/>
    </row>
    <row r="52" spans="1:31" x14ac:dyDescent="0.25">
      <c r="A52" s="34"/>
      <c r="B52" s="34"/>
      <c r="C52" s="34"/>
      <c r="D52" s="34"/>
      <c r="E52" s="34"/>
      <c r="F52" s="34"/>
      <c r="G52" s="34"/>
      <c r="H52" s="34"/>
      <c r="I52" s="34"/>
      <c r="J52" s="34"/>
      <c r="K52" s="34"/>
      <c r="L52" s="92" t="str">
        <f>R4</f>
        <v>Diving</v>
      </c>
      <c r="M52" s="208">
        <f>R37*2</f>
        <v>0</v>
      </c>
      <c r="N52" s="209">
        <v>2</v>
      </c>
      <c r="O52" s="209">
        <f t="shared" si="11"/>
        <v>320</v>
      </c>
      <c r="P52" s="118">
        <f>R38</f>
        <v>0</v>
      </c>
      <c r="Q52" s="210">
        <v>0</v>
      </c>
      <c r="R52" s="133">
        <f t="shared" si="13"/>
        <v>14</v>
      </c>
      <c r="S52" s="211">
        <f>R39</f>
        <v>0</v>
      </c>
      <c r="T52" s="211">
        <v>0</v>
      </c>
      <c r="U52" s="211">
        <f>U51+IF(ISNUMBER(T52),T52*$E$36,0)-IF(ISNUMBER(S52),S52,0)+IF(R$34="Yes",320,0)</f>
        <v>880</v>
      </c>
      <c r="V52" s="93">
        <f>R40</f>
        <v>0</v>
      </c>
      <c r="W52" s="144">
        <v>0</v>
      </c>
      <c r="X52" s="66">
        <f>X51+IF(ISNUMBER(W52),W52*$F$36,0)-IF(ISNUMBER(V52),V52,0)</f>
        <v>0</v>
      </c>
      <c r="Y52" s="212">
        <f>R41</f>
        <v>0</v>
      </c>
      <c r="Z52" s="212">
        <v>0</v>
      </c>
      <c r="AA52" s="212">
        <f t="shared" si="12"/>
        <v>0</v>
      </c>
      <c r="AB52" s="84" t="s">
        <v>100</v>
      </c>
      <c r="AC52" s="213">
        <v>0</v>
      </c>
      <c r="AD52" s="214">
        <f t="shared" si="10"/>
        <v>6</v>
      </c>
      <c r="AE52" s="34"/>
    </row>
    <row r="53" spans="1:31" x14ac:dyDescent="0.25">
      <c r="A53" s="34"/>
      <c r="B53" s="34"/>
      <c r="C53" s="34"/>
      <c r="D53" s="34"/>
      <c r="E53" s="34"/>
      <c r="F53" s="34"/>
      <c r="G53" s="34"/>
      <c r="H53" s="34"/>
      <c r="I53" s="34"/>
      <c r="J53" s="34"/>
      <c r="K53" s="34"/>
      <c r="L53" s="94" t="str">
        <f>S4</f>
        <v>Fathoms</v>
      </c>
      <c r="M53" s="217">
        <f>S37*2</f>
        <v>0</v>
      </c>
      <c r="N53" s="218" t="s">
        <v>100</v>
      </c>
      <c r="O53" s="218">
        <f t="shared" si="11"/>
        <v>320</v>
      </c>
      <c r="P53" s="95">
        <f>S38</f>
        <v>0</v>
      </c>
      <c r="Q53" s="219">
        <v>0</v>
      </c>
      <c r="R53" s="75">
        <f t="shared" si="13"/>
        <v>14</v>
      </c>
      <c r="S53" s="220">
        <f>S39</f>
        <v>0</v>
      </c>
      <c r="T53" s="220" t="s">
        <v>100</v>
      </c>
      <c r="U53" s="220">
        <f>U52+IF(ISNUMBER(T53),T53*$E$36,0)-IF(ISNUMBER(S53),S53,0)</f>
        <v>880</v>
      </c>
      <c r="V53" s="96">
        <f>S40</f>
        <v>0</v>
      </c>
      <c r="W53" s="221">
        <v>0</v>
      </c>
      <c r="X53" s="79">
        <f>X52+IF(ISNUMBER(W53),W53*$F$36,0)-IF(ISNUMBER(V53),V53,0)+IF(S$34="Yes",12,0)</f>
        <v>12</v>
      </c>
      <c r="Y53" s="222">
        <f>S41</f>
        <v>0</v>
      </c>
      <c r="Z53" s="222" t="s">
        <v>100</v>
      </c>
      <c r="AA53" s="222">
        <f t="shared" si="12"/>
        <v>0</v>
      </c>
      <c r="AB53" s="136" t="s">
        <v>100</v>
      </c>
      <c r="AC53" s="223" t="s">
        <v>100</v>
      </c>
      <c r="AD53" s="224">
        <f t="shared" si="10"/>
        <v>6</v>
      </c>
      <c r="AE53" s="34"/>
    </row>
    <row r="54" spans="1:31" x14ac:dyDescent="0.25">
      <c r="A54" s="34"/>
      <c r="B54" s="34"/>
      <c r="C54" s="34"/>
      <c r="D54" s="34"/>
      <c r="E54" s="34"/>
      <c r="F54" s="34"/>
      <c r="G54" s="34"/>
      <c r="H54" s="34"/>
      <c r="I54" s="34"/>
      <c r="J54" s="34"/>
      <c r="K54" s="34"/>
      <c r="L54" s="92" t="str">
        <f>T4</f>
        <v>Maria Doria</v>
      </c>
      <c r="M54" s="208">
        <f>T37*2</f>
        <v>0</v>
      </c>
      <c r="N54" s="209">
        <v>2</v>
      </c>
      <c r="O54" s="209">
        <f t="shared" si="11"/>
        <v>400</v>
      </c>
      <c r="P54" s="118">
        <f>T38</f>
        <v>0</v>
      </c>
      <c r="Q54" s="210">
        <v>0</v>
      </c>
      <c r="R54" s="133">
        <f t="shared" si="13"/>
        <v>14</v>
      </c>
      <c r="S54" s="211">
        <f>T39</f>
        <v>0</v>
      </c>
      <c r="T54" s="211">
        <v>0</v>
      </c>
      <c r="U54" s="211">
        <f>U53+IF(ISNUMBER(T54),T54*$E$36,0)-IF(ISNUMBER(S54),S54,0)</f>
        <v>880</v>
      </c>
      <c r="V54" s="93">
        <f>T40</f>
        <v>0</v>
      </c>
      <c r="W54" s="144">
        <v>0</v>
      </c>
      <c r="X54" s="66">
        <f>X53+IF(ISNUMBER(W54),W54*$F$36,0)-IF(ISNUMBER(V54),V54,0)</f>
        <v>12</v>
      </c>
      <c r="Y54" s="212">
        <f>T41</f>
        <v>0</v>
      </c>
      <c r="Z54" s="212">
        <v>0</v>
      </c>
      <c r="AA54" s="212">
        <f>AA53+IF(ISNUMBER(Z54),Z54*$G$36,0)-IF(ISNUMBER(Y54),Y54,0)</f>
        <v>0</v>
      </c>
      <c r="AB54" s="84">
        <f>T42</f>
        <v>0</v>
      </c>
      <c r="AC54" s="213">
        <v>0</v>
      </c>
      <c r="AD54" s="214">
        <f>AD53+IF(ISNUMBER(AC54),AC54*$H$36,0)-IF(ISNUMBER(AB54),AB54,0)+IF(T$34="Yes",6,0)</f>
        <v>12</v>
      </c>
      <c r="AE54" s="34"/>
    </row>
    <row r="55" spans="1:31" x14ac:dyDescent="0.25">
      <c r="A55" s="34"/>
      <c r="B55" s="34"/>
      <c r="C55" s="34"/>
      <c r="D55" s="34"/>
      <c r="E55" s="34"/>
      <c r="F55" s="34"/>
      <c r="G55" s="34"/>
      <c r="H55" s="34"/>
      <c r="I55" s="34"/>
      <c r="J55" s="34"/>
      <c r="K55" s="34"/>
      <c r="L55" s="94" t="str">
        <f>U4</f>
        <v>Living</v>
      </c>
      <c r="M55" s="217">
        <f>U37*2</f>
        <v>0</v>
      </c>
      <c r="N55" s="218">
        <v>0</v>
      </c>
      <c r="O55" s="218">
        <f t="shared" si="11"/>
        <v>400</v>
      </c>
      <c r="P55" s="95">
        <f>U38</f>
        <v>0</v>
      </c>
      <c r="Q55" s="219">
        <v>0</v>
      </c>
      <c r="R55" s="75">
        <f t="shared" si="13"/>
        <v>14</v>
      </c>
      <c r="S55" s="220">
        <f>U39</f>
        <v>0</v>
      </c>
      <c r="T55" s="220">
        <v>0</v>
      </c>
      <c r="U55" s="220">
        <f>U54+IF(ISNUMBER(T55),T55*$E$36,0)-IF(ISNUMBER(S55),S55,0)</f>
        <v>880</v>
      </c>
      <c r="V55" s="96">
        <f>U40</f>
        <v>0</v>
      </c>
      <c r="W55" s="221">
        <v>0</v>
      </c>
      <c r="X55" s="79">
        <f t="shared" ref="X55:X63" si="14">X54+IF(ISNUMBER(W55),W55*$F$36,0)-IF(ISNUMBER(V55),V55,0)</f>
        <v>12</v>
      </c>
      <c r="Y55" s="222">
        <f>U41</f>
        <v>0</v>
      </c>
      <c r="Z55" s="222">
        <v>0</v>
      </c>
      <c r="AA55" s="222">
        <f>AA54+IF(ISNUMBER(Z55),Z55*$G$36,0)-IF(ISNUMBER(Y55),Y55,0)+IF(U$34="Yes",160,0)</f>
        <v>160</v>
      </c>
      <c r="AB55" s="136">
        <f>U42</f>
        <v>0</v>
      </c>
      <c r="AC55" s="223" t="s">
        <v>100</v>
      </c>
      <c r="AD55" s="224">
        <f t="shared" si="10"/>
        <v>12</v>
      </c>
      <c r="AE55" s="34"/>
    </row>
    <row r="56" spans="1:31" x14ac:dyDescent="0.25">
      <c r="A56" s="34"/>
      <c r="B56" s="34"/>
      <c r="C56" s="34"/>
      <c r="D56" s="34"/>
      <c r="E56" s="34"/>
      <c r="F56" s="34"/>
      <c r="G56" s="34"/>
      <c r="H56" s="34"/>
      <c r="I56" s="34"/>
      <c r="J56" s="34"/>
      <c r="K56" s="34"/>
      <c r="L56" s="92" t="str">
        <f>V4</f>
        <v>The Deck</v>
      </c>
      <c r="M56" s="208">
        <f>V37*2</f>
        <v>0</v>
      </c>
      <c r="N56" s="209">
        <v>0</v>
      </c>
      <c r="O56" s="209">
        <f t="shared" si="11"/>
        <v>400</v>
      </c>
      <c r="P56" s="118">
        <f>V38</f>
        <v>0</v>
      </c>
      <c r="Q56" s="210">
        <v>0</v>
      </c>
      <c r="R56" s="133">
        <f t="shared" si="13"/>
        <v>14</v>
      </c>
      <c r="S56" s="211">
        <f>V39</f>
        <v>0</v>
      </c>
      <c r="T56" s="211">
        <v>0</v>
      </c>
      <c r="U56" s="211">
        <f>U55+IF(ISNUMBER(T56),T56*$E$36,0)-IF(ISNUMBER(S56),S56,0)</f>
        <v>880</v>
      </c>
      <c r="V56" s="93">
        <f>V40</f>
        <v>0</v>
      </c>
      <c r="W56" s="144">
        <v>0</v>
      </c>
      <c r="X56" s="66">
        <f t="shared" si="14"/>
        <v>12</v>
      </c>
      <c r="Y56" s="212">
        <f>V41</f>
        <v>0</v>
      </c>
      <c r="Z56" s="212">
        <v>0</v>
      </c>
      <c r="AA56" s="212">
        <f t="shared" ref="AA56:AA57" si="15">AA55+IF(ISNUMBER(Z56),Z56*$G$36,0)-IF(ISNUMBER(Y56),Y56,0)</f>
        <v>160</v>
      </c>
      <c r="AB56" s="84">
        <f>V42</f>
        <v>0</v>
      </c>
      <c r="AC56" s="213">
        <v>2</v>
      </c>
      <c r="AD56" s="214">
        <f>AD55+IF(ISNUMBER(AC56),AC56*$H$36,0)-IF(ISNUMBER(AB56),AB56,0)+IF(V$34="Yes",8,0)</f>
        <v>24</v>
      </c>
      <c r="AE56" s="34"/>
    </row>
    <row r="57" spans="1:31" x14ac:dyDescent="0.25">
      <c r="A57" s="34"/>
      <c r="B57" s="34"/>
      <c r="C57" s="34"/>
      <c r="D57" s="34"/>
      <c r="E57" s="34"/>
      <c r="F57" s="34"/>
      <c r="G57" s="34"/>
      <c r="H57" s="34"/>
      <c r="I57" s="34"/>
      <c r="J57" s="34"/>
      <c r="K57" s="34"/>
      <c r="L57" s="94" t="str">
        <f>W4</f>
        <v>Foothills</v>
      </c>
      <c r="M57" s="217">
        <f>W37*2</f>
        <v>0</v>
      </c>
      <c r="N57" s="218">
        <v>0</v>
      </c>
      <c r="O57" s="218">
        <f t="shared" si="11"/>
        <v>400</v>
      </c>
      <c r="P57" s="95">
        <f>W38</f>
        <v>0</v>
      </c>
      <c r="Q57" s="219">
        <v>0</v>
      </c>
      <c r="R57" s="75">
        <f t="shared" si="13"/>
        <v>14</v>
      </c>
      <c r="S57" s="220">
        <f>W39</f>
        <v>0</v>
      </c>
      <c r="T57" s="220">
        <v>0</v>
      </c>
      <c r="U57" s="220">
        <f>U56+IF(ISNUMBER(T57),T57*$E$36,0)-IF(ISNUMBER(S57),S57,0)+IF(W$34="Yes",320,0)</f>
        <v>1200</v>
      </c>
      <c r="V57" s="96">
        <f>W40</f>
        <v>0</v>
      </c>
      <c r="W57" s="221" t="s">
        <v>100</v>
      </c>
      <c r="X57" s="79">
        <f t="shared" si="14"/>
        <v>12</v>
      </c>
      <c r="Y57" s="222">
        <f>W41</f>
        <v>0</v>
      </c>
      <c r="Z57" s="222">
        <v>0</v>
      </c>
      <c r="AA57" s="222">
        <f t="shared" si="15"/>
        <v>160</v>
      </c>
      <c r="AB57" s="136">
        <f>W42</f>
        <v>0</v>
      </c>
      <c r="AC57" s="223">
        <v>2</v>
      </c>
      <c r="AD57" s="224">
        <f t="shared" si="10"/>
        <v>28</v>
      </c>
      <c r="AE57" s="34"/>
    </row>
    <row r="58" spans="1:31" x14ac:dyDescent="0.25">
      <c r="A58" s="34"/>
      <c r="B58" s="34"/>
      <c r="C58" s="34"/>
      <c r="D58" s="34"/>
      <c r="E58" s="34"/>
      <c r="F58" s="34"/>
      <c r="G58" s="34"/>
      <c r="H58" s="34"/>
      <c r="I58" s="34"/>
      <c r="J58" s="34"/>
      <c r="K58" s="34"/>
      <c r="L58" s="92" t="str">
        <f>X4</f>
        <v>Barkhang</v>
      </c>
      <c r="M58" s="208">
        <f>X37*2</f>
        <v>0</v>
      </c>
      <c r="N58" s="209">
        <v>0</v>
      </c>
      <c r="O58" s="209">
        <f t="shared" si="11"/>
        <v>400</v>
      </c>
      <c r="P58" s="118">
        <f>X38</f>
        <v>0</v>
      </c>
      <c r="Q58" s="210">
        <v>0</v>
      </c>
      <c r="R58" s="133">
        <f t="shared" si="13"/>
        <v>14</v>
      </c>
      <c r="S58" s="211">
        <f>X39</f>
        <v>0</v>
      </c>
      <c r="T58" s="211">
        <v>0</v>
      </c>
      <c r="U58" s="211">
        <f>U57+IF(ISNUMBER(T58),T58*$E$36,0)-IF(ISNUMBER(S58),S58,0)</f>
        <v>1200</v>
      </c>
      <c r="V58" s="93">
        <f>X40</f>
        <v>0</v>
      </c>
      <c r="W58" s="144">
        <v>0</v>
      </c>
      <c r="X58" s="66">
        <f t="shared" si="14"/>
        <v>12</v>
      </c>
      <c r="Y58" s="212">
        <f>X41</f>
        <v>0</v>
      </c>
      <c r="Z58" s="212">
        <v>0</v>
      </c>
      <c r="AA58" s="212">
        <f>AA57+IF(ISNUMBER(Z58),Z58*$G$36,0)-IF(ISNUMBER(Y58),Y58,0)+IF(X$34="Yes",160,0)</f>
        <v>320</v>
      </c>
      <c r="AB58" s="84">
        <f>X42</f>
        <v>0</v>
      </c>
      <c r="AC58" s="213">
        <v>0</v>
      </c>
      <c r="AD58" s="214">
        <f t="shared" si="10"/>
        <v>28</v>
      </c>
      <c r="AE58" s="34"/>
    </row>
    <row r="59" spans="1:31" x14ac:dyDescent="0.25">
      <c r="A59" s="34"/>
      <c r="B59" s="34"/>
      <c r="C59" s="34"/>
      <c r="D59" s="34"/>
      <c r="E59" s="34"/>
      <c r="F59" s="34"/>
      <c r="G59" s="34"/>
      <c r="H59" s="34"/>
      <c r="I59" s="34"/>
      <c r="J59" s="34"/>
      <c r="K59" s="34"/>
      <c r="L59" s="94" t="str">
        <f>Y4</f>
        <v>Catacombs</v>
      </c>
      <c r="M59" s="217">
        <f>Y37*2</f>
        <v>0</v>
      </c>
      <c r="N59" s="218">
        <v>0</v>
      </c>
      <c r="O59" s="218">
        <f t="shared" si="11"/>
        <v>400</v>
      </c>
      <c r="P59" s="95">
        <f>Y38</f>
        <v>0</v>
      </c>
      <c r="Q59" s="219">
        <v>0</v>
      </c>
      <c r="R59" s="75">
        <f t="shared" si="13"/>
        <v>14</v>
      </c>
      <c r="S59" s="220">
        <f>Y39</f>
        <v>0</v>
      </c>
      <c r="T59" s="220">
        <v>0</v>
      </c>
      <c r="U59" s="220">
        <f>U58+IF(ISNUMBER(T59),T59*$E$36,0)-IF(ISNUMBER(S59),S59,0)</f>
        <v>1200</v>
      </c>
      <c r="V59" s="96">
        <f>Y40</f>
        <v>0</v>
      </c>
      <c r="W59" s="221" t="s">
        <v>100</v>
      </c>
      <c r="X59" s="79">
        <f t="shared" si="14"/>
        <v>12</v>
      </c>
      <c r="Y59" s="222">
        <f>Y41</f>
        <v>0</v>
      </c>
      <c r="Z59" s="222">
        <v>0</v>
      </c>
      <c r="AA59" s="222">
        <f>AA58+IF(ISNUMBER(Z59),Z59*$G$36,0)-IF(ISNUMBER(Y59),Y59,0)+IF(Y$34="Yes",80,0)</f>
        <v>400</v>
      </c>
      <c r="AB59" s="136">
        <f>Y42</f>
        <v>0</v>
      </c>
      <c r="AC59" s="223">
        <v>1</v>
      </c>
      <c r="AD59" s="224">
        <f>AD58+IF(ISNUMBER(AC59),AC59*$H$36,0)-IF(ISNUMBER(AB59),AB59,0)+IF(Y$34="Yes",4,0)</f>
        <v>34</v>
      </c>
      <c r="AE59" s="34"/>
    </row>
    <row r="60" spans="1:31" x14ac:dyDescent="0.25">
      <c r="A60" s="34"/>
      <c r="B60" s="34"/>
      <c r="C60" s="34"/>
      <c r="D60" s="34"/>
      <c r="E60" s="34"/>
      <c r="F60" s="34"/>
      <c r="G60" s="34"/>
      <c r="H60" s="34"/>
      <c r="I60" s="34"/>
      <c r="J60" s="34"/>
      <c r="K60" s="34"/>
      <c r="L60" s="92" t="str">
        <f>Z4</f>
        <v>Ice Palace</v>
      </c>
      <c r="M60" s="208">
        <f>Z37*2</f>
        <v>0</v>
      </c>
      <c r="N60" s="209">
        <v>0</v>
      </c>
      <c r="O60" s="209">
        <f t="shared" si="11"/>
        <v>400</v>
      </c>
      <c r="P60" s="118">
        <f>Z38</f>
        <v>0</v>
      </c>
      <c r="Q60" s="210">
        <v>0</v>
      </c>
      <c r="R60" s="133">
        <f t="shared" si="13"/>
        <v>14</v>
      </c>
      <c r="S60" s="211">
        <f>Z39</f>
        <v>0</v>
      </c>
      <c r="T60" s="211">
        <v>0</v>
      </c>
      <c r="U60" s="211">
        <f>U59+IF(ISNUMBER(T60),T60*$E$36,0)-IF(ISNUMBER(S60),S60,0)</f>
        <v>1200</v>
      </c>
      <c r="V60" s="93">
        <f>Z40</f>
        <v>0</v>
      </c>
      <c r="W60" s="144" t="s">
        <v>100</v>
      </c>
      <c r="X60" s="66">
        <f t="shared" si="14"/>
        <v>12</v>
      </c>
      <c r="Y60" s="212">
        <f>Z41</f>
        <v>0</v>
      </c>
      <c r="Z60" s="212" t="s">
        <v>100</v>
      </c>
      <c r="AA60" s="212">
        <f t="shared" ref="AA60:AA63" si="16">AA59+IF(ISNUMBER(Z60),Z60*$G$36,0)-IF(ISNUMBER(Y60),Y60,0)</f>
        <v>400</v>
      </c>
      <c r="AB60" s="84">
        <f>Z42</f>
        <v>0</v>
      </c>
      <c r="AC60" s="213">
        <v>0</v>
      </c>
      <c r="AD60" s="214">
        <f>AD59+IF(ISNUMBER(AC60),AC60*$H$36,0)-IF(ISNUMBER(AB60),AB60,0)+IF(Z$34="Yes",8,0)</f>
        <v>42</v>
      </c>
      <c r="AE60" s="34"/>
    </row>
    <row r="61" spans="1:31" x14ac:dyDescent="0.25">
      <c r="A61" s="34"/>
      <c r="B61" s="34"/>
      <c r="C61" s="34"/>
      <c r="D61" s="34"/>
      <c r="E61" s="34"/>
      <c r="F61" s="34"/>
      <c r="G61" s="34"/>
      <c r="H61" s="34"/>
      <c r="I61" s="34"/>
      <c r="J61" s="34"/>
      <c r="K61" s="34"/>
      <c r="L61" s="94" t="str">
        <f>AA4</f>
        <v>Xian</v>
      </c>
      <c r="M61" s="217">
        <f>AA37*2</f>
        <v>0</v>
      </c>
      <c r="N61" s="218">
        <v>0</v>
      </c>
      <c r="O61" s="218">
        <f t="shared" si="11"/>
        <v>400</v>
      </c>
      <c r="P61" s="95">
        <f>AA38</f>
        <v>0</v>
      </c>
      <c r="Q61" s="219">
        <v>0</v>
      </c>
      <c r="R61" s="75">
        <f t="shared" si="13"/>
        <v>14</v>
      </c>
      <c r="S61" s="220">
        <f>AA39</f>
        <v>0</v>
      </c>
      <c r="T61" s="220">
        <v>0</v>
      </c>
      <c r="U61" s="220">
        <f>U60+IF(ISNUMBER(T61),T61*$E$36,0)-IF(ISNUMBER(S61),S61,0)+IF(AA$34="Yes",640,0)</f>
        <v>1840</v>
      </c>
      <c r="V61" s="96">
        <f>AA40</f>
        <v>0</v>
      </c>
      <c r="W61" s="221" t="s">
        <v>100</v>
      </c>
      <c r="X61" s="79">
        <f t="shared" si="14"/>
        <v>12</v>
      </c>
      <c r="Y61" s="222">
        <f>AA41</f>
        <v>0</v>
      </c>
      <c r="Z61" s="222">
        <v>0</v>
      </c>
      <c r="AA61" s="222">
        <f t="shared" si="16"/>
        <v>400</v>
      </c>
      <c r="AB61" s="136">
        <f>AA42</f>
        <v>0</v>
      </c>
      <c r="AC61" s="223">
        <v>0</v>
      </c>
      <c r="AD61" s="224">
        <f t="shared" si="10"/>
        <v>42</v>
      </c>
      <c r="AE61" s="34"/>
    </row>
    <row r="62" spans="1:31" x14ac:dyDescent="0.25">
      <c r="A62" s="34"/>
      <c r="B62" s="34"/>
      <c r="C62" s="34"/>
      <c r="D62" s="34"/>
      <c r="E62" s="34"/>
      <c r="F62" s="34"/>
      <c r="G62" s="34"/>
      <c r="H62" s="34"/>
      <c r="I62" s="34"/>
      <c r="J62" s="34"/>
      <c r="K62" s="34"/>
      <c r="L62" s="92" t="str">
        <f>AB4</f>
        <v>Floating</v>
      </c>
      <c r="M62" s="208">
        <f>AB37*2</f>
        <v>0</v>
      </c>
      <c r="N62" s="209">
        <v>0</v>
      </c>
      <c r="O62" s="209">
        <f t="shared" si="11"/>
        <v>400</v>
      </c>
      <c r="P62" s="118">
        <f>AB38</f>
        <v>0</v>
      </c>
      <c r="Q62" s="210">
        <v>0</v>
      </c>
      <c r="R62" s="133">
        <f t="shared" si="13"/>
        <v>14</v>
      </c>
      <c r="S62" s="211">
        <f>AB39</f>
        <v>0</v>
      </c>
      <c r="T62" s="211">
        <v>0</v>
      </c>
      <c r="U62" s="211">
        <f>U61+IF(ISNUMBER(T62),T62*$E$36,0)-IF(ISNUMBER(S62),S62,0)</f>
        <v>1840</v>
      </c>
      <c r="V62" s="93">
        <f>AB40</f>
        <v>0</v>
      </c>
      <c r="W62" s="144" t="s">
        <v>100</v>
      </c>
      <c r="X62" s="66">
        <f t="shared" si="14"/>
        <v>12</v>
      </c>
      <c r="Y62" s="212">
        <f>AB41</f>
        <v>0</v>
      </c>
      <c r="Z62" s="212">
        <v>0</v>
      </c>
      <c r="AA62" s="212">
        <f t="shared" si="16"/>
        <v>400</v>
      </c>
      <c r="AB62" s="84">
        <f>AB42</f>
        <v>0</v>
      </c>
      <c r="AC62" s="213">
        <v>0</v>
      </c>
      <c r="AD62" s="214">
        <f>AD61+IF(ISNUMBER(AC62),AC62*$H$36,0)-IF(ISNUMBER(AB62),AB62,0)+IF(AB$34="Yes",16,0)</f>
        <v>58</v>
      </c>
      <c r="AE62" s="34"/>
    </row>
    <row r="63" spans="1:31" x14ac:dyDescent="0.25">
      <c r="A63" s="34"/>
      <c r="B63" s="34"/>
      <c r="C63" s="34"/>
      <c r="D63" s="34"/>
      <c r="E63" s="34"/>
      <c r="F63" s="34"/>
      <c r="G63" s="34"/>
      <c r="H63" s="34"/>
      <c r="I63" s="34"/>
      <c r="J63" s="34"/>
      <c r="K63" s="34"/>
      <c r="L63" s="94" t="str">
        <f>AC4</f>
        <v>Dragon</v>
      </c>
      <c r="M63" s="217">
        <f>AC37*2</f>
        <v>0</v>
      </c>
      <c r="N63" s="218" t="s">
        <v>100</v>
      </c>
      <c r="O63" s="218">
        <f t="shared" si="11"/>
        <v>400</v>
      </c>
      <c r="P63" s="95">
        <f>AC38</f>
        <v>0</v>
      </c>
      <c r="Q63" s="219" t="s">
        <v>100</v>
      </c>
      <c r="R63" s="75">
        <f t="shared" si="13"/>
        <v>14</v>
      </c>
      <c r="S63" s="220">
        <f>AC39</f>
        <v>0</v>
      </c>
      <c r="T63" s="220">
        <v>0</v>
      </c>
      <c r="U63" s="220">
        <f>U62+IF(ISNUMBER(T63),T63*$E$36,0)-IF(ISNUMBER(S63),S63,0)</f>
        <v>1840</v>
      </c>
      <c r="V63" s="96">
        <f>AC40</f>
        <v>0</v>
      </c>
      <c r="W63" s="221" t="s">
        <v>100</v>
      </c>
      <c r="X63" s="79">
        <f t="shared" si="14"/>
        <v>12</v>
      </c>
      <c r="Y63" s="222">
        <f>AC41</f>
        <v>0</v>
      </c>
      <c r="Z63" s="222" t="s">
        <v>100</v>
      </c>
      <c r="AA63" s="222">
        <f t="shared" si="16"/>
        <v>400</v>
      </c>
      <c r="AB63" s="136">
        <f>AC42</f>
        <v>10</v>
      </c>
      <c r="AC63" s="223" t="s">
        <v>100</v>
      </c>
      <c r="AD63" s="224">
        <f t="shared" si="10"/>
        <v>48</v>
      </c>
      <c r="AE63" s="34"/>
    </row>
    <row r="64" spans="1:31" x14ac:dyDescent="0.25">
      <c r="A64" s="34"/>
      <c r="B64" s="34"/>
      <c r="C64" s="34"/>
      <c r="D64" s="34"/>
      <c r="E64" s="34"/>
      <c r="F64" s="34"/>
      <c r="G64" s="34"/>
      <c r="H64" s="34"/>
      <c r="I64" s="34"/>
      <c r="J64" s="34"/>
      <c r="K64" s="34"/>
      <c r="L64" s="97" t="str">
        <f>AD4</f>
        <v>Epilogue</v>
      </c>
      <c r="M64" s="225" t="str">
        <f>AD37</f>
        <v>--</v>
      </c>
      <c r="N64" s="226" t="s">
        <v>100</v>
      </c>
      <c r="O64" s="227" t="s">
        <v>100</v>
      </c>
      <c r="P64" s="228">
        <v>35</v>
      </c>
      <c r="Q64" s="228">
        <v>27</v>
      </c>
      <c r="R64" s="228">
        <f>Q64*$D$36-P64</f>
        <v>19</v>
      </c>
      <c r="S64" s="229" t="str">
        <f>AD39</f>
        <v>--</v>
      </c>
      <c r="T64" s="230" t="s">
        <v>100</v>
      </c>
      <c r="U64" s="230" t="s">
        <v>100</v>
      </c>
      <c r="V64" s="231" t="str">
        <f>AD40</f>
        <v>--</v>
      </c>
      <c r="W64" s="232" t="s">
        <v>100</v>
      </c>
      <c r="X64" s="233" t="s">
        <v>100</v>
      </c>
      <c r="Y64" s="234" t="str">
        <f>AD41</f>
        <v>--</v>
      </c>
      <c r="Z64" s="234" t="s">
        <v>100</v>
      </c>
      <c r="AA64" s="234" t="s">
        <v>100</v>
      </c>
      <c r="AB64" s="235" t="str">
        <f>AD42</f>
        <v>--</v>
      </c>
      <c r="AC64" s="236" t="s">
        <v>100</v>
      </c>
      <c r="AD64" s="237" t="s">
        <v>100</v>
      </c>
      <c r="AE64" s="34"/>
    </row>
    <row r="65" spans="1:31" x14ac:dyDescent="0.25">
      <c r="A65" s="34"/>
      <c r="B65" s="34"/>
      <c r="C65" s="34"/>
      <c r="D65" s="34"/>
      <c r="E65" s="34"/>
      <c r="F65" s="34"/>
      <c r="G65" s="34"/>
      <c r="H65" s="34"/>
      <c r="I65" s="34"/>
      <c r="J65" s="34"/>
      <c r="K65" s="34"/>
      <c r="L65" s="157" t="s">
        <v>136</v>
      </c>
      <c r="M65" s="158">
        <f>SUM(M51:M63)</f>
        <v>0</v>
      </c>
      <c r="N65" s="158">
        <f>SUM(N51:N63)*$C$36</f>
        <v>240</v>
      </c>
      <c r="O65" s="158" t="s">
        <v>100</v>
      </c>
      <c r="P65" s="158">
        <f>SUM(P51:P63)</f>
        <v>0</v>
      </c>
      <c r="Q65" s="158">
        <f>SUM(Q51:Q63)*$D$36</f>
        <v>0</v>
      </c>
      <c r="R65" s="158" t="s">
        <v>100</v>
      </c>
      <c r="S65" s="158">
        <f>SUM(S51:S63)</f>
        <v>0</v>
      </c>
      <c r="T65" s="158">
        <f>SUM(T51:T63)*$E$36</f>
        <v>0</v>
      </c>
      <c r="U65" s="158" t="s">
        <v>100</v>
      </c>
      <c r="V65" s="158">
        <f>SUM(V51:V63)</f>
        <v>0</v>
      </c>
      <c r="W65" s="158">
        <f>SUM(W51:W63)*$F$36</f>
        <v>0</v>
      </c>
      <c r="X65" s="158" t="s">
        <v>100</v>
      </c>
      <c r="Y65" s="158">
        <f>SUM(Y51:Y63)</f>
        <v>0</v>
      </c>
      <c r="Z65" s="158">
        <f>SUM(Z51:Z63)*$G$36</f>
        <v>0</v>
      </c>
      <c r="AA65" s="158" t="s">
        <v>100</v>
      </c>
      <c r="AB65" s="158">
        <f>SUM(AB51:AB63)</f>
        <v>10</v>
      </c>
      <c r="AC65" s="158">
        <f>SUM(AC51:AC63)*$H$36</f>
        <v>10</v>
      </c>
      <c r="AD65" s="159" t="s">
        <v>100</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row r="67" spans="1:31" ht="15.75" hidden="1" customHeight="1" x14ac:dyDescent="0.25"/>
  </sheetData>
  <mergeCells count="22">
    <mergeCell ref="B40:H40"/>
    <mergeCell ref="B2:B4"/>
    <mergeCell ref="C2:K2"/>
    <mergeCell ref="L2:L4"/>
    <mergeCell ref="M2:AD3"/>
    <mergeCell ref="C3:D3"/>
    <mergeCell ref="E3:F3"/>
    <mergeCell ref="B35:B36"/>
    <mergeCell ref="M35:AD35"/>
    <mergeCell ref="B37:H37"/>
    <mergeCell ref="B38:H38"/>
    <mergeCell ref="B39:H39"/>
    <mergeCell ref="B41:H41"/>
    <mergeCell ref="L44:L46"/>
    <mergeCell ref="M44:AD44"/>
    <mergeCell ref="M45:O45"/>
    <mergeCell ref="P45:R45"/>
    <mergeCell ref="S45:U45"/>
    <mergeCell ref="V45:X45"/>
    <mergeCell ref="Y45:AA45"/>
    <mergeCell ref="AB45:AD45"/>
    <mergeCell ref="B42:H48"/>
  </mergeCells>
  <conditionalFormatting sqref="O47:O63 R47:R49 AD47:AD49 U48:U63 AA48:AA49 X51:X63 R64">
    <cfRule type="cellIs" dxfId="28" priority="4" operator="lessThan">
      <formula>0</formula>
    </cfRule>
  </conditionalFormatting>
  <conditionalFormatting sqref="R50:R63">
    <cfRule type="cellIs" dxfId="27" priority="3" operator="lessThan">
      <formula>0</formula>
    </cfRule>
  </conditionalFormatting>
  <conditionalFormatting sqref="M5:AD9 M14:AD33 M10:AC13">
    <cfRule type="containsBlanks" dxfId="26" priority="6">
      <formula>LEN(TRIM(M5))=0</formula>
    </cfRule>
  </conditionalFormatting>
  <conditionalFormatting sqref="AD10:AD13">
    <cfRule type="containsBlanks" dxfId="25" priority="5">
      <formula>LEN(TRIM(AD10))=0</formula>
    </cfRule>
  </conditionalFormatting>
  <conditionalFormatting sqref="AD50:AD63">
    <cfRule type="cellIs" dxfId="24" priority="2" operator="lessThan">
      <formula>0</formula>
    </cfRule>
  </conditionalFormatting>
  <conditionalFormatting sqref="AA50:AA63">
    <cfRule type="cellIs" dxfId="23" priority="1" operator="lessThan">
      <formula>0</formula>
    </cfRule>
  </conditionalFormatting>
  <dataValidations disablePrompts="1" count="43">
    <dataValidation type="list" allowBlank="1" showInputMessage="1" showErrorMessage="1" sqref="J36 J39 J42" xr:uid="{314F5EE5-24C4-4838-BA34-7E5C70507865}">
      <formula1>"Yes,No"</formula1>
    </dataValidation>
    <dataValidation type="list" allowBlank="1" showInputMessage="1" showErrorMessage="1" prompt="3 extra come from collecting all secrets." sqref="T51" xr:uid="{FB39A316-0F56-4D0D-A8BA-46681663444F}">
      <formula1>"0,1"</formula1>
    </dataValidation>
    <dataValidation type="decimal" operator="equal" allowBlank="1" showDropDown="1" showInputMessage="1" showErrorMessage="1" prompt="Dragon kill is required." sqref="AC33" xr:uid="{2D337395-89C5-4944-9942-EB0F09D22E98}">
      <formula1>1</formula1>
    </dataValidation>
    <dataValidation type="list" allowBlank="1" showErrorMessage="1" sqref="R11 T11:U11 U14" xr:uid="{A0004043-CDF3-4863-9AEE-93291F5DCB58}">
      <formula1>"0,1,2,3,4,5,6,7,8,9"</formula1>
    </dataValidation>
    <dataValidation type="list" allowBlank="1" showInputMessage="1" showErrorMessage="1" prompt="4 extra come from collecting secrets." sqref="T57" xr:uid="{BBD50DDC-C460-43F0-8720-B9D939DFB37E}">
      <formula1>"0,1,2,3"</formula1>
    </dataValidation>
    <dataValidation type="list" allowBlank="1" showInputMessage="1" showErrorMessage="1" prompt="One is required to obtain a necessary key" sqref="Q15" xr:uid="{060D1823-6317-4D09-B429-C6484D0167AE}">
      <formula1>"0,1,2,3"</formula1>
    </dataValidation>
    <dataValidation type="list" allowBlank="1" showErrorMessage="1" sqref="Q11 V11 N12 W23" xr:uid="{B2519B39-14F4-4BD0-9667-0C8F2D0BCE65}">
      <formula1>"0,1,2,3,4,5,6,7,8,9,10"</formula1>
    </dataValidation>
    <dataValidation type="list" allowBlank="1" showInputMessage="1" showErrorMessage="1" prompt="8 extra come from collecting all secrets." sqref="T61" xr:uid="{677C7576-0541-4C4F-96B8-F0AA857D67FD}">
      <formula1>"0,1,2,3,4"</formula1>
    </dataValidation>
    <dataValidation type="list" allowBlank="1" showErrorMessage="1" sqref="R15" xr:uid="{FA46937E-8580-41D4-BB44-39543A860984}">
      <formula1>"0,1,2,3,4,5,6,"</formula1>
    </dataValidation>
    <dataValidation type="list" allowBlank="1" sqref="V16" xr:uid="{DA0EC8F2-F36C-4F31-897B-581655670C7F}">
      <formula1>"0,1,2,3,4,5"</formula1>
    </dataValidation>
    <dataValidation type="list" allowBlank="1" showInputMessage="1" showErrorMessage="1" prompt="4 extra come from collecting all secrets." sqref="AC56 AC60" xr:uid="{F11D94C1-61A3-4A7C-9D33-3F8B5FF4D4AD}">
      <formula1>"0,1,2,3,4"</formula1>
    </dataValidation>
    <dataValidation type="decimal" operator="equal" allowBlank="1" showDropDown="1" showInputMessage="1" showErrorMessage="1" prompt="All HSH enemies must be killed." sqref="AD12" xr:uid="{6C475488-F730-4ED3-A841-A2629EDC2D05}">
      <formula1>7</formula1>
    </dataValidation>
    <dataValidation type="list" allowBlank="1" showInputMessage="1" showErrorMessage="1" prompt="2 extra come from collecting all secrets." sqref="Z59" xr:uid="{348C1D12-808A-4226-85B9-C12785EEC0DD}">
      <formula1>"0,1,2,3"</formula1>
    </dataValidation>
    <dataValidation type="list" allowBlank="1" sqref="Y21" xr:uid="{4EA19F3C-A2C9-44B4-8584-9219397D1543}">
      <formula1>"0,1,2,3,4"</formula1>
    </dataValidation>
    <dataValidation type="list" allowBlank="1" showErrorMessage="1" sqref="AA5 AB30" xr:uid="{F4CE06D3-A0E2-4062-8DBB-5BF69B1E8633}">
      <formula1>"0,1,2,3,4,5,6,7,8"</formula1>
    </dataValidation>
    <dataValidation type="list" allowBlank="1" showInputMessage="1" showErrorMessage="1" prompt="4 extra come from collecting all secrets." sqref="N48" xr:uid="{1B516121-1BE0-4560-945F-36E67EEA44E4}">
      <formula1>"0,1,2,3,4,5"</formula1>
    </dataValidation>
    <dataValidation type="list" allowBlank="1" showErrorMessage="1" sqref="P12" xr:uid="{B27258B6-2753-4C85-9A5E-700EF6D8DD0D}">
      <formula1>"0,1,2,3,4,5,6,7,8,9,10,11,12,13,14,15,16"</formula1>
    </dataValidation>
    <dataValidation type="decimal" operator="equal" allowBlank="1" showDropDown="1" showInputMessage="1" showErrorMessage="1" prompt="4 extra come from collecting all secrets." sqref="Z55" xr:uid="{48C0F2AC-8E4B-41CB-BF46-023C51AD54B4}">
      <formula1>0</formula1>
    </dataValidation>
    <dataValidation type="list" allowBlank="1" showInputMessage="1" showErrorMessage="1" prompt="4 extra come from collecting secrets." sqref="T50 T52" xr:uid="{52CE9F95-CCD3-4BE8-911E-6DFF2961DD74}">
      <formula1>"0,1,2,3,4"</formula1>
    </dataValidation>
    <dataValidation type="list" allowBlank="1" showErrorMessage="1" sqref="O10 R10 T14:T15 S19:T19 AA28 T62" xr:uid="{6C422FBE-4278-41F7-8693-B1115DBE9B96}">
      <formula1>"0,1,2,3,4,5,6,7"</formula1>
    </dataValidation>
    <dataValidation type="list" allowBlank="1" showErrorMessage="1" sqref="AA7 P11 X21" xr:uid="{496A576B-08B4-4FEC-AB89-8567AA149701}">
      <formula1>"0,1,2,3,4,5,6,7,8,9,10,11"</formula1>
    </dataValidation>
    <dataValidation type="list" allowBlank="1" showErrorMessage="1" sqref="M6 S14 R16 T17 S18 V17:V18 Y20 Y25 Q48 N49 AC50 Q52 Q55 T56 Z57 N62" xr:uid="{6E9C86FE-93AE-4636-BE06-5CEE15450581}">
      <formula1>"0,1,2,3"</formula1>
    </dataValidation>
    <dataValidation type="list" allowBlank="1" showErrorMessage="1" sqref="M5 N9:N10 R14 V14 Y26 AA29 Q50 N57 T58 N59 Q62" xr:uid="{F6FFDB2B-2529-4F43-992C-4B287FB79F34}">
      <formula1>"0,1,2,3,4,5"</formula1>
    </dataValidation>
    <dataValidation type="decimal" operator="equal" allowBlank="1" showDropDown="1" showInputMessage="1" showErrorMessage="1" prompt="All HSH enemies must be killed." sqref="AD13" xr:uid="{51FC8A08-08AF-4D8B-9021-A7E433960F91}">
      <formula1>1</formula1>
    </dataValidation>
    <dataValidation type="list" allowBlank="1" showErrorMessage="1" sqref="M8 S11 Q17 U19 Z25 T48 Z48 AC49 AC52 Q53:Q54 T54 N55 Q56 W56 W58 AC58 N60 Q58:Q60 AC61 Z61:Z62" xr:uid="{7E258F76-28E8-48FB-B55A-392A01976833}">
      <formula1>"0,1,2"</formula1>
    </dataValidation>
    <dataValidation type="list" allowBlank="1" showErrorMessage="1" sqref="N11 Q14 R17 V19 W22 W28 AC31 T49 Q51 N50:N52 W51:W52 Z52 N54 Z54 N56 Z56 AC57 N58 N61 Q61" xr:uid="{BB6D778F-023B-466F-B598-A7AC0EBF7DC8}">
      <formula1>"0,1,2,3,4"</formula1>
    </dataValidation>
    <dataValidation type="list" allowBlank="1" showErrorMessage="1" sqref="O9 P10 O12 AB31" xr:uid="{CBF4EB14-067E-4B1E-A8C5-353448CE0F67}">
      <formula1>"0,1,2,3,4,5,6,7,8,9,10,11,12"</formula1>
    </dataValidation>
    <dataValidation type="decimal" operator="equal" allowBlank="1" showDropDown="1" showInputMessage="1" showErrorMessage="1" prompt="All HSH enemies must be killed." sqref="AD10:AD11" xr:uid="{E14C3078-32C5-4264-AEA1-040023F170F4}">
      <formula1>4</formula1>
    </dataValidation>
    <dataValidation type="list" allowBlank="1" showInputMessage="1" showErrorMessage="1" prompt="4 extra come from collecting all secrets." sqref="Q49 W53" xr:uid="{5593555E-0494-40A8-95F2-79ED1E79977B}">
      <formula1>"0,1,2,3"</formula1>
    </dataValidation>
    <dataValidation type="list" allowBlank="1" showErrorMessage="1" sqref="Y23 T63" xr:uid="{CF0E24CB-3A68-456B-9494-57D8C7952D5C}">
      <formula1>"0,1,2,3,4,5,6,7,8,9,10,11,12,13,14,15,16,17,18"</formula1>
    </dataValidation>
    <dataValidation type="list" allowBlank="1" showErrorMessage="1" sqref="W21" xr:uid="{24C1C899-02E6-411C-BE1E-FA8B527FB73B}">
      <formula1>"0,1,2,3,4,5,6,7,8,9,10,11,12,13,14,15"</formula1>
    </dataValidation>
    <dataValidation type="list" allowBlank="1" showInputMessage="1" showErrorMessage="1" prompt="One shark is inaccessible but still killable. As of now, no ruling has been decided on whether or not this kill is required for 100%/Max%." sqref="T18" xr:uid="{76F3ED5B-7EC1-4C9C-A3FD-13791B0FC1AD}">
      <formula1>"0,1,2,3"</formula1>
    </dataValidation>
    <dataValidation type="list" allowBlank="1" showErrorMessage="1" sqref="Q10 P13 S17 U17 N47 Q47 T55 W55 Q57" xr:uid="{643E9B03-9724-4736-9624-8FD080AF3139}">
      <formula1>"0,1"</formula1>
    </dataValidation>
    <dataValidation type="list" allowBlank="1" showInputMessage="1" showErrorMessage="1" prompt="4 extra come from collecting all secrets." sqref="Z58" xr:uid="{5DF0EA10-8DA4-4AB6-922C-B4F81B8D1C50}">
      <formula1>"0,1,2"</formula1>
    </dataValidation>
    <dataValidation type="list" allowBlank="1" showInputMessage="1" showErrorMessage="1" prompt="8 extra come from collecting all secrets." sqref="AC62" xr:uid="{C404EC9A-3E4F-4D72-A43D-DD59A1DA349B}">
      <formula1>"0,1,2"</formula1>
    </dataValidation>
    <dataValidation type="list" allowBlank="1" showInputMessage="1" showErrorMessage="1" prompt="2 extra come from collecting all secrets." sqref="AC59" xr:uid="{679A6AC6-CAA5-498B-9798-48D964E018CA}">
      <formula1>"0,1,2,3,4,5,6"</formula1>
    </dataValidation>
    <dataValidation type="list" allowBlank="1" showErrorMessage="1" sqref="M7 X20 Z26" xr:uid="{CAA6A8CF-509E-48EA-9CCC-19CD899E375D}">
      <formula1>"0,1,2,3,4,5,6,7,8,9,10,11,12,13"</formula1>
    </dataValidation>
    <dataValidation type="list" allowBlank="1" showInputMessage="1" showErrorMessage="1" prompt="One kill is required to collect item to open the door." sqref="AC32" xr:uid="{14F7E185-21D7-4096-A1B7-2315312D4758}">
      <formula1>"1,2,3,4,5,6"</formula1>
    </dataValidation>
    <dataValidation type="decimal" operator="equal" allowBlank="1" showDropDown="1" showInputMessage="1" showErrorMessage="1" prompt="3 extra come from collecting all secrets." sqref="AC47 AC54" xr:uid="{0BCF73FC-2191-471F-B090-E8BD850DBA34}">
      <formula1>0</formula1>
    </dataValidation>
    <dataValidation type="list" allowBlank="1" showErrorMessage="1" sqref="Z5 X6 P9 O11 AA25 AB32 W54 T59:T60" xr:uid="{A76E4761-7ADF-40EC-B343-126E6B8E410D}">
      <formula1>"0,1,2,3,4,5,6"</formula1>
    </dataValidation>
    <dataValidation type="decimal" operator="equal" allowBlank="1" showDropDown="1" showInputMessage="1" showErrorMessage="1" prompt="Big Fookin Chx kill is required." sqref="Z27" xr:uid="{202EAB43-18C1-470B-8647-51F34F9CADB9}">
      <formula1>1</formula1>
    </dataValidation>
    <dataValidation type="list" allowBlank="1" showErrorMessage="1" sqref="X24" xr:uid="{638D064D-2E8B-4BFE-84E6-FFEAEC882BAB}">
      <formula1>"0,1,2,3,4,5,6,7,8,9,10,11,12,13,14,15,16,17,18,19,20,21,22"</formula1>
    </dataValidation>
    <dataValidation type="list" showDropDown="1" showInputMessage="1" showErrorMessage="1" sqref="M34:AB34" xr:uid="{ABB87AAD-1E3F-465D-8E6B-0ABE39330B95}">
      <formula1>"Yes"</formula1>
    </dataValidation>
  </dataValidation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0C432-C74F-4799-994F-96EAEF93B7BC}">
  <sheetPr codeName="s07">
    <outlinePr summaryBelow="0" summaryRight="0"/>
  </sheetPr>
  <dimension ref="A1:AE66"/>
  <sheetViews>
    <sheetView showGridLines="0" zoomScale="85" zoomScaleNormal="85" workbookViewId="0"/>
  </sheetViews>
  <sheetFormatPr defaultColWidth="0" defaultRowHeight="15.75" customHeight="1" zeroHeight="1" x14ac:dyDescent="0.25"/>
  <cols>
    <col min="1" max="1" width="2" style="108" customWidth="1"/>
    <col min="2" max="2" width="18" style="108" customWidth="1"/>
    <col min="3" max="4" width="9.42578125" style="108" customWidth="1"/>
    <col min="5" max="5" width="9.7109375" style="108" customWidth="1"/>
    <col min="6" max="6" width="10.140625" style="108" customWidth="1"/>
    <col min="7" max="7" width="10.5703125" style="108" customWidth="1"/>
    <col min="8" max="8" width="10.7109375" style="108" customWidth="1"/>
    <col min="9" max="9" width="13.85546875" style="108" bestFit="1" customWidth="1"/>
    <col min="10" max="10" width="9.5703125" style="108" customWidth="1"/>
    <col min="11" max="11" width="18.140625" style="108" customWidth="1"/>
    <col min="12" max="12" width="17.85546875" style="108" customWidth="1"/>
    <col min="13" max="13" width="10.7109375" style="108" customWidth="1"/>
    <col min="14" max="14" width="7.42578125" style="108" customWidth="1"/>
    <col min="15" max="15" width="10.85546875" style="108" customWidth="1"/>
    <col min="16" max="16" width="8.7109375" style="108" customWidth="1"/>
    <col min="17" max="17" width="9" style="108" customWidth="1"/>
    <col min="18" max="18" width="10.85546875" style="108" customWidth="1"/>
    <col min="19" max="19" width="9.140625" style="108" customWidth="1"/>
    <col min="20" max="20" width="11.7109375" style="108" customWidth="1"/>
    <col min="21" max="21" width="10.85546875" style="108" customWidth="1"/>
    <col min="22" max="22" width="10" style="108" customWidth="1"/>
    <col min="23" max="23" width="8.7109375" style="108" customWidth="1"/>
    <col min="24" max="24" width="10.85546875" style="108" customWidth="1"/>
    <col min="25" max="25" width="11.42578125" style="108" customWidth="1"/>
    <col min="26" max="26" width="10.7109375" style="108" customWidth="1"/>
    <col min="27" max="27" width="10.85546875" style="108" customWidth="1"/>
    <col min="28" max="28" width="9.28515625" style="108" customWidth="1"/>
    <col min="29" max="29" width="7.85546875" style="108" customWidth="1"/>
    <col min="30" max="30" width="10.85546875" style="108" customWidth="1"/>
    <col min="31" max="31" width="2" style="108" customWidth="1"/>
    <col min="32" max="16384" width="14.42578125" style="108"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5" t="s">
        <v>2</v>
      </c>
      <c r="C2" s="354" t="s">
        <v>5</v>
      </c>
      <c r="D2" s="316"/>
      <c r="E2" s="316"/>
      <c r="F2" s="316"/>
      <c r="G2" s="316"/>
      <c r="H2" s="316"/>
      <c r="I2" s="316"/>
      <c r="J2" s="316"/>
      <c r="K2" s="316"/>
      <c r="L2" s="355" t="s">
        <v>2</v>
      </c>
      <c r="M2" s="338" t="s">
        <v>7</v>
      </c>
      <c r="N2" s="316"/>
      <c r="O2" s="316"/>
      <c r="P2" s="316"/>
      <c r="Q2" s="316"/>
      <c r="R2" s="316"/>
      <c r="S2" s="316"/>
      <c r="T2" s="316"/>
      <c r="U2" s="316"/>
      <c r="V2" s="316"/>
      <c r="W2" s="316"/>
      <c r="X2" s="316"/>
      <c r="Y2" s="316"/>
      <c r="Z2" s="316"/>
      <c r="AA2" s="316"/>
      <c r="AB2" s="316"/>
      <c r="AC2" s="316"/>
      <c r="AD2" s="317"/>
      <c r="AE2" s="34"/>
    </row>
    <row r="3" spans="1:31" x14ac:dyDescent="0.25">
      <c r="A3" s="33"/>
      <c r="B3" s="356"/>
      <c r="C3" s="363" t="s">
        <v>13</v>
      </c>
      <c r="D3" s="316"/>
      <c r="E3" s="364" t="s">
        <v>15</v>
      </c>
      <c r="F3" s="317"/>
      <c r="G3" s="35" t="s">
        <v>16</v>
      </c>
      <c r="H3" s="36" t="s">
        <v>155</v>
      </c>
      <c r="I3" s="137" t="s">
        <v>156</v>
      </c>
      <c r="J3" s="37" t="s">
        <v>20</v>
      </c>
      <c r="K3" s="125" t="s">
        <v>22</v>
      </c>
      <c r="L3" s="356"/>
      <c r="M3" s="361"/>
      <c r="N3" s="312"/>
      <c r="O3" s="312"/>
      <c r="P3" s="312"/>
      <c r="Q3" s="312"/>
      <c r="R3" s="312"/>
      <c r="S3" s="312"/>
      <c r="T3" s="312"/>
      <c r="U3" s="312"/>
      <c r="V3" s="312"/>
      <c r="W3" s="312"/>
      <c r="X3" s="312"/>
      <c r="Y3" s="312"/>
      <c r="Z3" s="312"/>
      <c r="AA3" s="312"/>
      <c r="AB3" s="312"/>
      <c r="AC3" s="312"/>
      <c r="AD3" s="310"/>
      <c r="AE3" s="34"/>
    </row>
    <row r="4" spans="1:31" x14ac:dyDescent="0.25">
      <c r="A4" s="33"/>
      <c r="B4" s="357"/>
      <c r="C4" s="111" t="s">
        <v>26</v>
      </c>
      <c r="D4" s="112" t="s">
        <v>27</v>
      </c>
      <c r="E4" s="145" t="s">
        <v>26</v>
      </c>
      <c r="F4" s="38" t="s">
        <v>27</v>
      </c>
      <c r="G4" s="116" t="s">
        <v>30</v>
      </c>
      <c r="H4" s="121" t="s">
        <v>26</v>
      </c>
      <c r="I4" s="39" t="s">
        <v>35</v>
      </c>
      <c r="J4" s="123" t="s">
        <v>26</v>
      </c>
      <c r="K4" s="40" t="s">
        <v>38</v>
      </c>
      <c r="L4" s="357"/>
      <c r="M4" s="41" t="s">
        <v>39</v>
      </c>
      <c r="N4" s="42" t="s">
        <v>40</v>
      </c>
      <c r="O4" s="42" t="s">
        <v>41</v>
      </c>
      <c r="P4" s="42" t="s">
        <v>157</v>
      </c>
      <c r="Q4" s="43" t="s">
        <v>42</v>
      </c>
      <c r="R4" s="43" t="s">
        <v>43</v>
      </c>
      <c r="S4" s="43" t="s">
        <v>44</v>
      </c>
      <c r="T4" s="43" t="s">
        <v>45</v>
      </c>
      <c r="U4" s="43" t="s">
        <v>46</v>
      </c>
      <c r="V4" s="43" t="s">
        <v>47</v>
      </c>
      <c r="W4" s="43" t="s">
        <v>48</v>
      </c>
      <c r="X4" s="43" t="s">
        <v>49</v>
      </c>
      <c r="Y4" s="43" t="s">
        <v>50</v>
      </c>
      <c r="Z4" s="43" t="s">
        <v>51</v>
      </c>
      <c r="AA4" s="43" t="s">
        <v>52</v>
      </c>
      <c r="AB4" s="43" t="s">
        <v>53</v>
      </c>
      <c r="AC4" s="43" t="s">
        <v>54</v>
      </c>
      <c r="AD4" s="44" t="s">
        <v>55</v>
      </c>
      <c r="AE4" s="34"/>
    </row>
    <row r="5" spans="1:31" x14ac:dyDescent="0.25">
      <c r="A5" s="34"/>
      <c r="B5" s="45" t="s">
        <v>56</v>
      </c>
      <c r="C5" s="34">
        <f>20/(IF($J$36="Yes",1,0)+1)*(IF($J$39="Yes",1,0)+1)</f>
        <v>20</v>
      </c>
      <c r="D5" s="34">
        <f>ROUNDUP(C5/2,0)</f>
        <v>10</v>
      </c>
      <c r="E5" s="25">
        <f>ROUNDUP(C5/2,0)</f>
        <v>10</v>
      </c>
      <c r="F5" s="46">
        <f t="shared" ref="F5:F33" si="0">ROUNDUP(E5/2,0)</f>
        <v>5</v>
      </c>
      <c r="G5" s="26">
        <f>ROUNDUP(C5/18,0)</f>
        <v>2</v>
      </c>
      <c r="H5" s="27">
        <f>ROUNDUP(C5,0)</f>
        <v>20</v>
      </c>
      <c r="I5" s="138">
        <f>ROUNDUP(C5/4,0)</f>
        <v>5</v>
      </c>
      <c r="J5" s="28">
        <f>ROUNDUP(H5/3,0)</f>
        <v>7</v>
      </c>
      <c r="K5" s="126">
        <f>ROUNDUP(C5/30,0)</f>
        <v>1</v>
      </c>
      <c r="L5" s="45" t="str">
        <f t="shared" ref="L5:L33" si="1">B5</f>
        <v>Tiger</v>
      </c>
      <c r="M5" s="98">
        <v>2</v>
      </c>
      <c r="N5" s="34"/>
      <c r="O5" s="34"/>
      <c r="P5" s="34"/>
      <c r="Q5" s="34"/>
      <c r="R5" s="34"/>
      <c r="S5" s="34"/>
      <c r="T5" s="34"/>
      <c r="U5" s="34"/>
      <c r="V5" s="34"/>
      <c r="W5" s="34"/>
      <c r="X5" s="34"/>
      <c r="Y5" s="34"/>
      <c r="Z5" s="99">
        <v>3</v>
      </c>
      <c r="AA5" s="99">
        <v>0</v>
      </c>
      <c r="AB5" s="34"/>
      <c r="AC5" s="34"/>
      <c r="AD5" s="101"/>
      <c r="AE5" s="34"/>
    </row>
    <row r="6" spans="1:31" x14ac:dyDescent="0.25">
      <c r="A6" s="34"/>
      <c r="B6" s="129" t="s">
        <v>58</v>
      </c>
      <c r="C6" s="113">
        <f>15/(IF($J$36="Yes",1,0)+1)*(IF($J$39="Yes",1,0)+1)</f>
        <v>15</v>
      </c>
      <c r="D6" s="113">
        <f t="shared" ref="D6:D33" si="2">ROUNDUP(C6/2,0)</f>
        <v>8</v>
      </c>
      <c r="E6" s="29">
        <f t="shared" ref="E6:E33" si="3">ROUNDUP(C6/2,0)</f>
        <v>8</v>
      </c>
      <c r="F6" s="48">
        <f t="shared" si="0"/>
        <v>4</v>
      </c>
      <c r="G6" s="117">
        <f t="shared" ref="G6:G33" si="4">ROUNDUP(C6/18,0)</f>
        <v>1</v>
      </c>
      <c r="H6" s="120">
        <f t="shared" ref="H6:H33" si="5">ROUNDUP(C6,0)</f>
        <v>15</v>
      </c>
      <c r="I6" s="30">
        <f t="shared" ref="I6:I33" si="6">ROUNDUP(C6/4,0)</f>
        <v>4</v>
      </c>
      <c r="J6" s="124">
        <f t="shared" ref="J6:J33" si="7">ROUNDUP(H6/3,0)</f>
        <v>5</v>
      </c>
      <c r="K6" s="49">
        <f t="shared" ref="K6:K33" si="8">ROUNDUP(C6/30,0)</f>
        <v>1</v>
      </c>
      <c r="L6" s="129" t="str">
        <f t="shared" si="1"/>
        <v>Crow</v>
      </c>
      <c r="M6" s="199">
        <v>0</v>
      </c>
      <c r="N6" s="34"/>
      <c r="O6" s="34"/>
      <c r="P6" s="34"/>
      <c r="Q6" s="34"/>
      <c r="R6" s="34"/>
      <c r="S6" s="34"/>
      <c r="T6" s="34"/>
      <c r="U6" s="34"/>
      <c r="V6" s="34"/>
      <c r="W6" s="34"/>
      <c r="X6" s="200">
        <v>0</v>
      </c>
      <c r="Y6" s="34"/>
      <c r="Z6" s="34"/>
      <c r="AA6" s="34"/>
      <c r="AB6" s="34"/>
      <c r="AC6" s="34"/>
      <c r="AD6" s="101"/>
      <c r="AE6" s="34"/>
    </row>
    <row r="7" spans="1:31" x14ac:dyDescent="0.25">
      <c r="A7" s="34"/>
      <c r="B7" s="50" t="s">
        <v>60</v>
      </c>
      <c r="C7" s="34">
        <f>5/(IF($J$36="Yes",1,0)+1)*(IF($J$39="Yes",1,0)+1)</f>
        <v>5</v>
      </c>
      <c r="D7" s="34">
        <f t="shared" si="2"/>
        <v>3</v>
      </c>
      <c r="E7" s="25">
        <f t="shared" si="3"/>
        <v>3</v>
      </c>
      <c r="F7" s="46">
        <f t="shared" si="0"/>
        <v>2</v>
      </c>
      <c r="G7" s="26">
        <f t="shared" si="4"/>
        <v>1</v>
      </c>
      <c r="H7" s="27">
        <f t="shared" si="5"/>
        <v>5</v>
      </c>
      <c r="I7" s="138">
        <f t="shared" si="6"/>
        <v>2</v>
      </c>
      <c r="J7" s="28">
        <f t="shared" si="7"/>
        <v>2</v>
      </c>
      <c r="K7" s="126">
        <f t="shared" si="8"/>
        <v>1</v>
      </c>
      <c r="L7" s="50" t="str">
        <f t="shared" si="1"/>
        <v>Spider</v>
      </c>
      <c r="M7" s="98">
        <v>0</v>
      </c>
      <c r="N7" s="34"/>
      <c r="O7" s="34"/>
      <c r="P7" s="34"/>
      <c r="Q7" s="34"/>
      <c r="R7" s="34"/>
      <c r="S7" s="34"/>
      <c r="T7" s="34"/>
      <c r="U7" s="34"/>
      <c r="V7" s="34"/>
      <c r="W7" s="34"/>
      <c r="X7" s="34"/>
      <c r="Y7" s="34"/>
      <c r="Z7" s="34"/>
      <c r="AA7" s="99">
        <v>0</v>
      </c>
      <c r="AB7" s="34"/>
      <c r="AC7" s="34"/>
      <c r="AD7" s="101"/>
      <c r="AE7" s="34"/>
    </row>
    <row r="8" spans="1:31" x14ac:dyDescent="0.25">
      <c r="A8" s="34"/>
      <c r="B8" s="129" t="s">
        <v>62</v>
      </c>
      <c r="C8" s="113">
        <f>100/(IF($J$36="Yes",1,0)+1)*(IF($J$39="Yes",1,0)+1)</f>
        <v>100</v>
      </c>
      <c r="D8" s="113">
        <f t="shared" si="2"/>
        <v>50</v>
      </c>
      <c r="E8" s="29">
        <f t="shared" si="3"/>
        <v>50</v>
      </c>
      <c r="F8" s="48">
        <f t="shared" si="0"/>
        <v>25</v>
      </c>
      <c r="G8" s="117">
        <f t="shared" si="4"/>
        <v>6</v>
      </c>
      <c r="H8" s="120">
        <f t="shared" si="5"/>
        <v>100</v>
      </c>
      <c r="I8" s="30">
        <f t="shared" si="6"/>
        <v>25</v>
      </c>
      <c r="J8" s="124">
        <f t="shared" si="7"/>
        <v>34</v>
      </c>
      <c r="K8" s="49">
        <f t="shared" si="8"/>
        <v>4</v>
      </c>
      <c r="L8" s="129" t="str">
        <f t="shared" si="1"/>
        <v>T-Rex</v>
      </c>
      <c r="M8" s="199">
        <v>0</v>
      </c>
      <c r="N8" s="34"/>
      <c r="O8" s="34"/>
      <c r="P8" s="34"/>
      <c r="Q8" s="34"/>
      <c r="R8" s="34"/>
      <c r="S8" s="34"/>
      <c r="T8" s="34"/>
      <c r="U8" s="34"/>
      <c r="V8" s="34"/>
      <c r="W8" s="34"/>
      <c r="X8" s="34"/>
      <c r="Y8" s="34"/>
      <c r="Z8" s="34"/>
      <c r="AA8" s="34"/>
      <c r="AB8" s="34"/>
      <c r="AC8" s="34"/>
      <c r="AD8" s="101"/>
      <c r="AE8" s="34"/>
    </row>
    <row r="9" spans="1:31" x14ac:dyDescent="0.25">
      <c r="A9" s="34"/>
      <c r="B9" s="50" t="s">
        <v>64</v>
      </c>
      <c r="C9" s="34">
        <f>4/(IF($J$36="Yes",1,0)+1)*(IF($J$39="Yes",1,0)+1)</f>
        <v>4</v>
      </c>
      <c r="D9" s="34">
        <f t="shared" si="2"/>
        <v>2</v>
      </c>
      <c r="E9" s="25">
        <f t="shared" si="3"/>
        <v>2</v>
      </c>
      <c r="F9" s="46">
        <f t="shared" si="0"/>
        <v>1</v>
      </c>
      <c r="G9" s="26">
        <f t="shared" si="4"/>
        <v>1</v>
      </c>
      <c r="H9" s="27">
        <f t="shared" si="5"/>
        <v>4</v>
      </c>
      <c r="I9" s="138">
        <f t="shared" si="6"/>
        <v>1</v>
      </c>
      <c r="J9" s="28">
        <f t="shared" si="7"/>
        <v>2</v>
      </c>
      <c r="K9" s="126">
        <f t="shared" si="8"/>
        <v>1</v>
      </c>
      <c r="L9" s="50" t="str">
        <f t="shared" si="1"/>
        <v>Rat</v>
      </c>
      <c r="M9" s="47"/>
      <c r="N9" s="99">
        <v>0</v>
      </c>
      <c r="O9" s="99">
        <v>2</v>
      </c>
      <c r="P9" s="99">
        <v>0</v>
      </c>
      <c r="Q9" s="99"/>
      <c r="R9" s="99"/>
      <c r="S9" s="99"/>
      <c r="T9" s="99"/>
      <c r="U9" s="99"/>
      <c r="V9" s="99"/>
      <c r="W9" s="99"/>
      <c r="X9" s="99"/>
      <c r="Y9" s="99"/>
      <c r="Z9" s="99"/>
      <c r="AA9" s="99"/>
      <c r="AB9" s="99"/>
      <c r="AC9" s="99"/>
      <c r="AD9" s="101"/>
      <c r="AE9" s="34"/>
    </row>
    <row r="10" spans="1:31" x14ac:dyDescent="0.25">
      <c r="A10" s="34"/>
      <c r="B10" s="129" t="s">
        <v>65</v>
      </c>
      <c r="C10" s="113">
        <f>10/(IF($J$36="Yes",1,0)+1)*(IF($J$39="Yes",1,0)+1)</f>
        <v>10</v>
      </c>
      <c r="D10" s="113">
        <f t="shared" si="2"/>
        <v>5</v>
      </c>
      <c r="E10" s="29">
        <f t="shared" si="3"/>
        <v>5</v>
      </c>
      <c r="F10" s="48">
        <f t="shared" si="0"/>
        <v>3</v>
      </c>
      <c r="G10" s="117">
        <f t="shared" si="4"/>
        <v>1</v>
      </c>
      <c r="H10" s="120">
        <f t="shared" si="5"/>
        <v>10</v>
      </c>
      <c r="I10" s="30">
        <f t="shared" si="6"/>
        <v>3</v>
      </c>
      <c r="J10" s="124">
        <f t="shared" si="7"/>
        <v>4</v>
      </c>
      <c r="K10" s="49">
        <f t="shared" si="8"/>
        <v>1</v>
      </c>
      <c r="L10" s="129" t="str">
        <f t="shared" si="1"/>
        <v>Dog</v>
      </c>
      <c r="M10" s="47"/>
      <c r="N10" s="200">
        <v>0</v>
      </c>
      <c r="O10" s="200">
        <v>0</v>
      </c>
      <c r="P10" s="200">
        <v>0</v>
      </c>
      <c r="Q10" s="200">
        <v>1</v>
      </c>
      <c r="R10" s="200">
        <v>4</v>
      </c>
      <c r="S10" s="100"/>
      <c r="T10" s="100"/>
      <c r="U10" s="100"/>
      <c r="V10" s="100"/>
      <c r="W10" s="100"/>
      <c r="X10" s="100"/>
      <c r="Y10" s="100"/>
      <c r="Z10" s="100"/>
      <c r="AA10" s="100"/>
      <c r="AB10" s="100"/>
      <c r="AC10" s="100"/>
      <c r="AD10" s="201">
        <v>4</v>
      </c>
      <c r="AE10" s="34"/>
    </row>
    <row r="11" spans="1:31" x14ac:dyDescent="0.25">
      <c r="A11" s="34"/>
      <c r="B11" s="50" t="s">
        <v>67</v>
      </c>
      <c r="C11" s="34">
        <f>27/(IF($J$36="Yes",1,0)+1)*(IF($J$39="Yes",1,0)+1)</f>
        <v>27</v>
      </c>
      <c r="D11" s="34">
        <f t="shared" si="2"/>
        <v>14</v>
      </c>
      <c r="E11" s="25">
        <f t="shared" si="3"/>
        <v>14</v>
      </c>
      <c r="F11" s="46">
        <f t="shared" si="0"/>
        <v>7</v>
      </c>
      <c r="G11" s="26">
        <f t="shared" si="4"/>
        <v>2</v>
      </c>
      <c r="H11" s="27">
        <f t="shared" si="5"/>
        <v>27</v>
      </c>
      <c r="I11" s="138">
        <f t="shared" si="6"/>
        <v>7</v>
      </c>
      <c r="J11" s="28">
        <f t="shared" si="7"/>
        <v>9</v>
      </c>
      <c r="K11" s="126">
        <f t="shared" si="8"/>
        <v>1</v>
      </c>
      <c r="L11" s="50" t="str">
        <f t="shared" si="1"/>
        <v>Melee Thug</v>
      </c>
      <c r="M11" s="47"/>
      <c r="N11" s="99">
        <v>0</v>
      </c>
      <c r="O11" s="99">
        <v>2</v>
      </c>
      <c r="P11" s="99">
        <v>0</v>
      </c>
      <c r="Q11" s="99">
        <v>2</v>
      </c>
      <c r="R11" s="99">
        <v>2</v>
      </c>
      <c r="S11" s="99">
        <v>0</v>
      </c>
      <c r="T11" s="99">
        <v>2</v>
      </c>
      <c r="U11" s="99">
        <v>1</v>
      </c>
      <c r="V11" s="99">
        <v>1</v>
      </c>
      <c r="W11" s="99"/>
      <c r="X11" s="99"/>
      <c r="Y11" s="99"/>
      <c r="Z11" s="99"/>
      <c r="AA11" s="99"/>
      <c r="AB11" s="99"/>
      <c r="AC11" s="99"/>
      <c r="AD11" s="205">
        <v>4</v>
      </c>
      <c r="AE11" s="34"/>
    </row>
    <row r="12" spans="1:31" x14ac:dyDescent="0.25">
      <c r="A12" s="34"/>
      <c r="B12" s="129" t="s">
        <v>68</v>
      </c>
      <c r="C12" s="113">
        <f>25/(IF($J$36="Yes",1,0)+1)*(IF($J$39="Yes",1,0)+1)</f>
        <v>25</v>
      </c>
      <c r="D12" s="113">
        <f t="shared" si="2"/>
        <v>13</v>
      </c>
      <c r="E12" s="29">
        <f t="shared" si="3"/>
        <v>13</v>
      </c>
      <c r="F12" s="48">
        <f t="shared" si="0"/>
        <v>7</v>
      </c>
      <c r="G12" s="117">
        <f t="shared" si="4"/>
        <v>2</v>
      </c>
      <c r="H12" s="120">
        <f t="shared" si="5"/>
        <v>25</v>
      </c>
      <c r="I12" s="30">
        <f t="shared" si="6"/>
        <v>7</v>
      </c>
      <c r="J12" s="124">
        <f t="shared" si="7"/>
        <v>9</v>
      </c>
      <c r="K12" s="49">
        <f t="shared" si="8"/>
        <v>1</v>
      </c>
      <c r="L12" s="129" t="str">
        <f t="shared" si="1"/>
        <v>Pistol Thug</v>
      </c>
      <c r="M12" s="47"/>
      <c r="N12" s="200">
        <v>0</v>
      </c>
      <c r="O12" s="200">
        <v>1</v>
      </c>
      <c r="P12" s="200">
        <v>0</v>
      </c>
      <c r="Q12" s="100"/>
      <c r="R12" s="100"/>
      <c r="S12" s="100"/>
      <c r="T12" s="100"/>
      <c r="U12" s="100"/>
      <c r="V12" s="100"/>
      <c r="W12" s="100"/>
      <c r="X12" s="100"/>
      <c r="Y12" s="100"/>
      <c r="Z12" s="100"/>
      <c r="AA12" s="100"/>
      <c r="AB12" s="100"/>
      <c r="AC12" s="100"/>
      <c r="AD12" s="201">
        <v>7</v>
      </c>
      <c r="AE12" s="34"/>
    </row>
    <row r="13" spans="1:31" x14ac:dyDescent="0.25">
      <c r="A13" s="34"/>
      <c r="B13" s="50" t="s">
        <v>69</v>
      </c>
      <c r="C13" s="34">
        <f>150/(IF($J$36="Yes",1,0)+1)*(IF($J$39="Yes",1,0)+1)</f>
        <v>150</v>
      </c>
      <c r="D13" s="34">
        <f t="shared" si="2"/>
        <v>75</v>
      </c>
      <c r="E13" s="25">
        <f t="shared" si="3"/>
        <v>75</v>
      </c>
      <c r="F13" s="46">
        <f t="shared" si="0"/>
        <v>38</v>
      </c>
      <c r="G13" s="26">
        <f t="shared" si="4"/>
        <v>9</v>
      </c>
      <c r="H13" s="27">
        <f t="shared" si="5"/>
        <v>150</v>
      </c>
      <c r="I13" s="138">
        <f t="shared" si="6"/>
        <v>38</v>
      </c>
      <c r="J13" s="28">
        <f t="shared" si="7"/>
        <v>50</v>
      </c>
      <c r="K13" s="126">
        <f t="shared" si="8"/>
        <v>5</v>
      </c>
      <c r="L13" s="50" t="str">
        <f t="shared" si="1"/>
        <v>Colt</v>
      </c>
      <c r="M13" s="47"/>
      <c r="N13" s="34"/>
      <c r="O13" s="99"/>
      <c r="P13" s="99">
        <v>0</v>
      </c>
      <c r="Q13" s="99"/>
      <c r="R13" s="99"/>
      <c r="S13" s="99"/>
      <c r="T13" s="99"/>
      <c r="U13" s="99"/>
      <c r="V13" s="99"/>
      <c r="W13" s="99"/>
      <c r="X13" s="99"/>
      <c r="Y13" s="99"/>
      <c r="Z13" s="99"/>
      <c r="AA13" s="99"/>
      <c r="AB13" s="99"/>
      <c r="AC13" s="99"/>
      <c r="AD13" s="205">
        <v>1</v>
      </c>
      <c r="AE13" s="34"/>
    </row>
    <row r="14" spans="1:31" x14ac:dyDescent="0.25">
      <c r="A14" s="34"/>
      <c r="B14" s="129" t="s">
        <v>71</v>
      </c>
      <c r="C14" s="113">
        <f>25/(IF($J$36="Yes",1,0)+1)*(IF($J$39="Yes",1,0)+1)</f>
        <v>25</v>
      </c>
      <c r="D14" s="113">
        <f t="shared" si="2"/>
        <v>13</v>
      </c>
      <c r="E14" s="29">
        <f t="shared" si="3"/>
        <v>13</v>
      </c>
      <c r="F14" s="48">
        <f t="shared" si="0"/>
        <v>7</v>
      </c>
      <c r="G14" s="117">
        <f t="shared" si="4"/>
        <v>2</v>
      </c>
      <c r="H14" s="120">
        <f t="shared" si="5"/>
        <v>25</v>
      </c>
      <c r="I14" s="30">
        <f t="shared" si="6"/>
        <v>7</v>
      </c>
      <c r="J14" s="124">
        <f t="shared" si="7"/>
        <v>9</v>
      </c>
      <c r="K14" s="49">
        <f t="shared" si="8"/>
        <v>1</v>
      </c>
      <c r="L14" s="129" t="str">
        <f t="shared" si="1"/>
        <v>Shotgun Thug</v>
      </c>
      <c r="M14" s="47"/>
      <c r="N14" s="34"/>
      <c r="O14" s="100"/>
      <c r="P14" s="100"/>
      <c r="Q14" s="200">
        <v>1</v>
      </c>
      <c r="R14" s="200">
        <v>2</v>
      </c>
      <c r="S14" s="200">
        <v>0</v>
      </c>
      <c r="T14" s="200">
        <v>1</v>
      </c>
      <c r="U14" s="200">
        <v>1</v>
      </c>
      <c r="V14" s="200">
        <v>0</v>
      </c>
      <c r="W14" s="100"/>
      <c r="X14" s="100"/>
      <c r="Y14" s="100"/>
      <c r="Z14" s="100"/>
      <c r="AA14" s="100"/>
      <c r="AB14" s="100"/>
      <c r="AC14" s="100"/>
      <c r="AD14" s="101"/>
      <c r="AE14" s="34"/>
    </row>
    <row r="15" spans="1:31" x14ac:dyDescent="0.25">
      <c r="A15" s="34"/>
      <c r="B15" s="50" t="s">
        <v>72</v>
      </c>
      <c r="C15" s="34">
        <f>20/(IF($J$36="Yes",1,0)+1)*(IF($J$39="Yes",1,0)+1)</f>
        <v>20</v>
      </c>
      <c r="D15" s="34">
        <f t="shared" si="2"/>
        <v>10</v>
      </c>
      <c r="E15" s="25">
        <f t="shared" si="3"/>
        <v>10</v>
      </c>
      <c r="F15" s="46">
        <f t="shared" si="0"/>
        <v>5</v>
      </c>
      <c r="G15" s="26">
        <f t="shared" si="4"/>
        <v>2</v>
      </c>
      <c r="H15" s="27">
        <f t="shared" si="5"/>
        <v>20</v>
      </c>
      <c r="I15" s="138">
        <f t="shared" si="6"/>
        <v>5</v>
      </c>
      <c r="J15" s="28">
        <f t="shared" si="7"/>
        <v>7</v>
      </c>
      <c r="K15" s="126">
        <f t="shared" si="8"/>
        <v>1</v>
      </c>
      <c r="L15" s="50" t="str">
        <f t="shared" si="1"/>
        <v>Auto Rifle Thug</v>
      </c>
      <c r="M15" s="47"/>
      <c r="N15" s="34"/>
      <c r="O15" s="99"/>
      <c r="P15" s="99"/>
      <c r="Q15" s="99">
        <v>2</v>
      </c>
      <c r="R15" s="99">
        <v>3</v>
      </c>
      <c r="S15" s="99"/>
      <c r="T15" s="99">
        <v>1</v>
      </c>
      <c r="U15" s="99"/>
      <c r="V15" s="99"/>
      <c r="W15" s="99"/>
      <c r="X15" s="99"/>
      <c r="Y15" s="99"/>
      <c r="Z15" s="99"/>
      <c r="AA15" s="99"/>
      <c r="AB15" s="99"/>
      <c r="AC15" s="99"/>
      <c r="AD15" s="101"/>
      <c r="AE15" s="34"/>
    </row>
    <row r="16" spans="1:31" x14ac:dyDescent="0.25">
      <c r="A16" s="34"/>
      <c r="B16" s="129" t="s">
        <v>73</v>
      </c>
      <c r="C16" s="113">
        <f>20/(IF($J$36="Yes",1,0)+1)*(IF($J$39="Yes",1,0)+1)</f>
        <v>20</v>
      </c>
      <c r="D16" s="113">
        <f t="shared" si="2"/>
        <v>10</v>
      </c>
      <c r="E16" s="29">
        <f t="shared" si="3"/>
        <v>10</v>
      </c>
      <c r="F16" s="48">
        <f t="shared" si="0"/>
        <v>5</v>
      </c>
      <c r="G16" s="117">
        <f t="shared" si="4"/>
        <v>2</v>
      </c>
      <c r="H16" s="120">
        <f t="shared" si="5"/>
        <v>20</v>
      </c>
      <c r="I16" s="30">
        <f t="shared" si="6"/>
        <v>5</v>
      </c>
      <c r="J16" s="124">
        <f t="shared" si="7"/>
        <v>7</v>
      </c>
      <c r="K16" s="49">
        <f t="shared" si="8"/>
        <v>1</v>
      </c>
      <c r="L16" s="129" t="str">
        <f t="shared" si="1"/>
        <v>Flamethrower</v>
      </c>
      <c r="M16" s="47"/>
      <c r="N16" s="34"/>
      <c r="O16" s="100"/>
      <c r="P16" s="100"/>
      <c r="Q16" s="100"/>
      <c r="R16" s="200">
        <v>1</v>
      </c>
      <c r="S16" s="100"/>
      <c r="T16" s="100"/>
      <c r="U16" s="100"/>
      <c r="V16" s="200">
        <v>2</v>
      </c>
      <c r="W16" s="100"/>
      <c r="X16" s="100"/>
      <c r="Y16" s="100"/>
      <c r="Z16" s="100"/>
      <c r="AA16" s="100"/>
      <c r="AB16" s="100"/>
      <c r="AC16" s="100"/>
      <c r="AD16" s="101"/>
      <c r="AE16" s="34"/>
    </row>
    <row r="17" spans="1:31" x14ac:dyDescent="0.25">
      <c r="A17" s="34"/>
      <c r="B17" s="50" t="s">
        <v>145</v>
      </c>
      <c r="C17" s="34">
        <f>20/(IF($J$36="Yes",1,0)+1)*(IF($J$39="Yes",1,0)+1)</f>
        <v>20</v>
      </c>
      <c r="D17" s="34">
        <f t="shared" si="2"/>
        <v>10</v>
      </c>
      <c r="E17" s="25">
        <f t="shared" si="3"/>
        <v>10</v>
      </c>
      <c r="F17" s="46">
        <f t="shared" si="0"/>
        <v>5</v>
      </c>
      <c r="G17" s="26">
        <f t="shared" si="4"/>
        <v>2</v>
      </c>
      <c r="H17" s="27">
        <f t="shared" si="5"/>
        <v>20</v>
      </c>
      <c r="I17" s="138">
        <f t="shared" si="6"/>
        <v>5</v>
      </c>
      <c r="J17" s="28">
        <f t="shared" si="7"/>
        <v>7</v>
      </c>
      <c r="K17" s="126">
        <f t="shared" si="8"/>
        <v>1</v>
      </c>
      <c r="L17" s="50" t="str">
        <f t="shared" si="1"/>
        <v>Scuba Diver</v>
      </c>
      <c r="M17" s="47"/>
      <c r="N17" s="34"/>
      <c r="O17" s="99"/>
      <c r="P17" s="99"/>
      <c r="Q17" s="99">
        <v>0</v>
      </c>
      <c r="R17" s="99">
        <v>0</v>
      </c>
      <c r="S17" s="99">
        <v>0</v>
      </c>
      <c r="T17" s="99">
        <v>0</v>
      </c>
      <c r="U17" s="99">
        <v>0</v>
      </c>
      <c r="V17" s="99">
        <v>0</v>
      </c>
      <c r="W17" s="99"/>
      <c r="X17" s="99"/>
      <c r="Y17" s="99"/>
      <c r="Z17" s="99"/>
      <c r="AA17" s="99"/>
      <c r="AB17" s="99"/>
      <c r="AC17" s="99"/>
      <c r="AD17" s="101"/>
      <c r="AE17" s="34"/>
    </row>
    <row r="18" spans="1:31" x14ac:dyDescent="0.25">
      <c r="A18" s="34"/>
      <c r="B18" s="129" t="s">
        <v>75</v>
      </c>
      <c r="C18" s="113">
        <f>30/(IF($J$36="Yes",1,0)+1)*(IF($J$39="Yes",1,0)+1)</f>
        <v>30</v>
      </c>
      <c r="D18" s="113">
        <f t="shared" si="2"/>
        <v>15</v>
      </c>
      <c r="E18" s="29">
        <f t="shared" si="3"/>
        <v>15</v>
      </c>
      <c r="F18" s="48">
        <f t="shared" si="0"/>
        <v>8</v>
      </c>
      <c r="G18" s="117">
        <f t="shared" si="4"/>
        <v>2</v>
      </c>
      <c r="H18" s="120">
        <f t="shared" si="5"/>
        <v>30</v>
      </c>
      <c r="I18" s="30">
        <f t="shared" si="6"/>
        <v>8</v>
      </c>
      <c r="J18" s="124">
        <f t="shared" si="7"/>
        <v>10</v>
      </c>
      <c r="K18" s="49">
        <f t="shared" si="8"/>
        <v>1</v>
      </c>
      <c r="L18" s="129" t="str">
        <f t="shared" si="1"/>
        <v>Shark</v>
      </c>
      <c r="M18" s="47"/>
      <c r="N18" s="34"/>
      <c r="O18" s="100"/>
      <c r="P18" s="100"/>
      <c r="Q18" s="100"/>
      <c r="R18" s="100"/>
      <c r="S18" s="200">
        <v>0</v>
      </c>
      <c r="T18" s="200">
        <v>0</v>
      </c>
      <c r="U18" s="100"/>
      <c r="V18" s="200">
        <v>0</v>
      </c>
      <c r="W18" s="100"/>
      <c r="X18" s="100"/>
      <c r="Y18" s="100"/>
      <c r="Z18" s="100"/>
      <c r="AA18" s="100"/>
      <c r="AB18" s="100"/>
      <c r="AC18" s="100"/>
      <c r="AD18" s="101"/>
      <c r="AE18" s="34"/>
    </row>
    <row r="19" spans="1:31" x14ac:dyDescent="0.25">
      <c r="A19" s="34"/>
      <c r="B19" s="50" t="s">
        <v>77</v>
      </c>
      <c r="C19" s="34">
        <f>12/(IF($J$36="Yes",1,0)+1)*(IF($J$39="Yes",1,0)+1)</f>
        <v>12</v>
      </c>
      <c r="D19" s="34">
        <f t="shared" si="2"/>
        <v>6</v>
      </c>
      <c r="E19" s="25">
        <f t="shared" si="3"/>
        <v>6</v>
      </c>
      <c r="F19" s="46">
        <f t="shared" si="0"/>
        <v>3</v>
      </c>
      <c r="G19" s="26">
        <f t="shared" si="4"/>
        <v>1</v>
      </c>
      <c r="H19" s="27">
        <f t="shared" si="5"/>
        <v>12</v>
      </c>
      <c r="I19" s="138">
        <f t="shared" si="6"/>
        <v>3</v>
      </c>
      <c r="J19" s="28">
        <f t="shared" si="7"/>
        <v>4</v>
      </c>
      <c r="K19" s="126">
        <f t="shared" si="8"/>
        <v>1</v>
      </c>
      <c r="L19" s="50" t="str">
        <f t="shared" si="1"/>
        <v>Barracuda</v>
      </c>
      <c r="M19" s="47"/>
      <c r="N19" s="34"/>
      <c r="O19" s="99"/>
      <c r="P19" s="99"/>
      <c r="Q19" s="99"/>
      <c r="R19" s="99"/>
      <c r="S19" s="99">
        <v>0</v>
      </c>
      <c r="T19" s="99">
        <v>0</v>
      </c>
      <c r="U19" s="99">
        <v>0</v>
      </c>
      <c r="V19" s="99">
        <v>0</v>
      </c>
      <c r="W19" s="99"/>
      <c r="X19" s="99"/>
      <c r="Y19" s="99"/>
      <c r="Z19" s="99"/>
      <c r="AA19" s="99"/>
      <c r="AB19" s="99"/>
      <c r="AC19" s="99"/>
      <c r="AD19" s="101"/>
      <c r="AE19" s="34"/>
    </row>
    <row r="20" spans="1:31" x14ac:dyDescent="0.25">
      <c r="A20" s="34"/>
      <c r="B20" s="129" t="s">
        <v>78</v>
      </c>
      <c r="C20" s="113">
        <f>45/(IF($J$36="Yes",1,0)+1)*(IF($J$39="Yes",1,0)+1)</f>
        <v>45</v>
      </c>
      <c r="D20" s="113">
        <f t="shared" si="2"/>
        <v>23</v>
      </c>
      <c r="E20" s="29">
        <f t="shared" si="3"/>
        <v>23</v>
      </c>
      <c r="F20" s="48">
        <f t="shared" si="0"/>
        <v>12</v>
      </c>
      <c r="G20" s="117">
        <f t="shared" si="4"/>
        <v>3</v>
      </c>
      <c r="H20" s="120">
        <f t="shared" si="5"/>
        <v>45</v>
      </c>
      <c r="I20" s="30">
        <f t="shared" si="6"/>
        <v>12</v>
      </c>
      <c r="J20" s="124">
        <f t="shared" si="7"/>
        <v>15</v>
      </c>
      <c r="K20" s="49">
        <f t="shared" si="8"/>
        <v>2</v>
      </c>
      <c r="L20" s="129" t="str">
        <f t="shared" si="1"/>
        <v>Uzi Thug</v>
      </c>
      <c r="M20" s="47"/>
      <c r="N20" s="34"/>
      <c r="O20" s="100"/>
      <c r="P20" s="100"/>
      <c r="Q20" s="100"/>
      <c r="R20" s="100"/>
      <c r="S20" s="100"/>
      <c r="T20" s="100"/>
      <c r="U20" s="100"/>
      <c r="V20" s="100"/>
      <c r="W20" s="100"/>
      <c r="X20" s="200">
        <v>0</v>
      </c>
      <c r="Y20" s="200">
        <v>0</v>
      </c>
      <c r="Z20" s="100"/>
      <c r="AA20" s="100"/>
      <c r="AB20" s="100"/>
      <c r="AC20" s="100"/>
      <c r="AD20" s="101"/>
      <c r="AE20" s="34"/>
    </row>
    <row r="21" spans="1:31" x14ac:dyDescent="0.25">
      <c r="A21" s="34"/>
      <c r="B21" s="50" t="s">
        <v>80</v>
      </c>
      <c r="C21" s="34">
        <f>50/(IF($J$36="Yes",1,0)+1)*(IF($J$39="Yes",1,0)+1)</f>
        <v>50</v>
      </c>
      <c r="D21" s="34">
        <f t="shared" si="2"/>
        <v>25</v>
      </c>
      <c r="E21" s="25">
        <f t="shared" si="3"/>
        <v>25</v>
      </c>
      <c r="F21" s="46">
        <f t="shared" si="0"/>
        <v>13</v>
      </c>
      <c r="G21" s="26">
        <f t="shared" si="4"/>
        <v>3</v>
      </c>
      <c r="H21" s="27">
        <f t="shared" si="5"/>
        <v>50</v>
      </c>
      <c r="I21" s="138">
        <f t="shared" si="6"/>
        <v>13</v>
      </c>
      <c r="J21" s="28">
        <f t="shared" si="7"/>
        <v>17</v>
      </c>
      <c r="K21" s="126">
        <f t="shared" si="8"/>
        <v>2</v>
      </c>
      <c r="L21" s="50" t="str">
        <f t="shared" si="1"/>
        <v>Burst Pistol Thug</v>
      </c>
      <c r="M21" s="47"/>
      <c r="N21" s="34"/>
      <c r="O21" s="99"/>
      <c r="P21" s="99"/>
      <c r="Q21" s="99"/>
      <c r="R21" s="99"/>
      <c r="S21" s="99"/>
      <c r="T21" s="99"/>
      <c r="U21" s="99"/>
      <c r="V21" s="99"/>
      <c r="W21" s="99">
        <v>0</v>
      </c>
      <c r="X21" s="99">
        <v>0</v>
      </c>
      <c r="Y21" s="99">
        <v>0</v>
      </c>
      <c r="Z21" s="99"/>
      <c r="AA21" s="99"/>
      <c r="AB21" s="99"/>
      <c r="AC21" s="99"/>
      <c r="AD21" s="101"/>
      <c r="AE21" s="34"/>
    </row>
    <row r="22" spans="1:31" x14ac:dyDescent="0.25">
      <c r="A22" s="34"/>
      <c r="B22" s="129" t="s">
        <v>81</v>
      </c>
      <c r="C22" s="113">
        <f>100/(IF($J$36="Yes",1,0)+1)*(IF($J$39="Yes",1,0)+1)</f>
        <v>100</v>
      </c>
      <c r="D22" s="113">
        <f t="shared" si="2"/>
        <v>50</v>
      </c>
      <c r="E22" s="29">
        <f t="shared" si="3"/>
        <v>50</v>
      </c>
      <c r="F22" s="48">
        <f t="shared" si="0"/>
        <v>25</v>
      </c>
      <c r="G22" s="117">
        <f t="shared" si="4"/>
        <v>6</v>
      </c>
      <c r="H22" s="120">
        <f t="shared" si="5"/>
        <v>100</v>
      </c>
      <c r="I22" s="30">
        <f t="shared" si="6"/>
        <v>25</v>
      </c>
      <c r="J22" s="124">
        <f t="shared" si="7"/>
        <v>34</v>
      </c>
      <c r="K22" s="49">
        <f t="shared" si="8"/>
        <v>4</v>
      </c>
      <c r="L22" s="129" t="str">
        <f t="shared" si="1"/>
        <v>Snowmobile Thug</v>
      </c>
      <c r="M22" s="47"/>
      <c r="N22" s="34"/>
      <c r="O22" s="100"/>
      <c r="P22" s="100"/>
      <c r="Q22" s="100"/>
      <c r="R22" s="100"/>
      <c r="S22" s="100"/>
      <c r="T22" s="100"/>
      <c r="U22" s="100"/>
      <c r="V22" s="100"/>
      <c r="W22" s="200">
        <v>1</v>
      </c>
      <c r="X22" s="100"/>
      <c r="Y22" s="100"/>
      <c r="Z22" s="100"/>
      <c r="AA22" s="100"/>
      <c r="AB22" s="100"/>
      <c r="AC22" s="100"/>
      <c r="AD22" s="101"/>
      <c r="AE22" s="34"/>
    </row>
    <row r="23" spans="1:31" x14ac:dyDescent="0.25">
      <c r="A23" s="34"/>
      <c r="B23" s="50" t="s">
        <v>82</v>
      </c>
      <c r="C23" s="34">
        <f>20/(IF($J$36="Yes",1,0)+1)*(IF($J$39="Yes",1,0)+1)</f>
        <v>20</v>
      </c>
      <c r="D23" s="34">
        <f t="shared" si="2"/>
        <v>10</v>
      </c>
      <c r="E23" s="25">
        <f t="shared" si="3"/>
        <v>10</v>
      </c>
      <c r="F23" s="46">
        <f t="shared" si="0"/>
        <v>5</v>
      </c>
      <c r="G23" s="26">
        <f t="shared" si="4"/>
        <v>2</v>
      </c>
      <c r="H23" s="27">
        <f t="shared" si="5"/>
        <v>20</v>
      </c>
      <c r="I23" s="138">
        <f t="shared" si="6"/>
        <v>5</v>
      </c>
      <c r="J23" s="28">
        <f t="shared" si="7"/>
        <v>7</v>
      </c>
      <c r="K23" s="126">
        <f t="shared" si="8"/>
        <v>1</v>
      </c>
      <c r="L23" s="50" t="str">
        <f t="shared" si="1"/>
        <v>Snow Leopard</v>
      </c>
      <c r="M23" s="47"/>
      <c r="N23" s="34"/>
      <c r="O23" s="99"/>
      <c r="P23" s="99"/>
      <c r="Q23" s="99"/>
      <c r="R23" s="99"/>
      <c r="S23" s="99"/>
      <c r="T23" s="99"/>
      <c r="U23" s="99"/>
      <c r="V23" s="99"/>
      <c r="W23" s="99">
        <v>0</v>
      </c>
      <c r="X23" s="99"/>
      <c r="Y23" s="99">
        <v>0</v>
      </c>
      <c r="Z23" s="99"/>
      <c r="AA23" s="99"/>
      <c r="AB23" s="99"/>
      <c r="AC23" s="99"/>
      <c r="AD23" s="101"/>
      <c r="AE23" s="34"/>
    </row>
    <row r="24" spans="1:31" x14ac:dyDescent="0.25">
      <c r="A24" s="34"/>
      <c r="B24" s="129" t="s">
        <v>83</v>
      </c>
      <c r="C24" s="113">
        <f>30/(IF($J$36="Yes",1,0)+1)*(IF($J$39="Yes",1,0)+1)</f>
        <v>30</v>
      </c>
      <c r="D24" s="113">
        <f t="shared" si="2"/>
        <v>15</v>
      </c>
      <c r="E24" s="29">
        <f t="shared" si="3"/>
        <v>15</v>
      </c>
      <c r="F24" s="48">
        <f t="shared" si="0"/>
        <v>8</v>
      </c>
      <c r="G24" s="117">
        <f t="shared" si="4"/>
        <v>2</v>
      </c>
      <c r="H24" s="120">
        <f t="shared" si="5"/>
        <v>30</v>
      </c>
      <c r="I24" s="30">
        <f t="shared" si="6"/>
        <v>8</v>
      </c>
      <c r="J24" s="124">
        <f t="shared" si="7"/>
        <v>10</v>
      </c>
      <c r="K24" s="49">
        <f t="shared" si="8"/>
        <v>1</v>
      </c>
      <c r="L24" s="129" t="str">
        <f t="shared" si="1"/>
        <v>Monastery Monk</v>
      </c>
      <c r="M24" s="47"/>
      <c r="N24" s="34"/>
      <c r="O24" s="100"/>
      <c r="P24" s="100"/>
      <c r="Q24" s="100"/>
      <c r="R24" s="100"/>
      <c r="S24" s="100"/>
      <c r="T24" s="100"/>
      <c r="U24" s="100"/>
      <c r="V24" s="100"/>
      <c r="W24" s="100"/>
      <c r="X24" s="200">
        <v>0</v>
      </c>
      <c r="Y24" s="100"/>
      <c r="Z24" s="100"/>
      <c r="AA24" s="100"/>
      <c r="AB24" s="100"/>
      <c r="AC24" s="100"/>
      <c r="AD24" s="101"/>
      <c r="AE24" s="34"/>
    </row>
    <row r="25" spans="1:31" x14ac:dyDescent="0.25">
      <c r="A25" s="34"/>
      <c r="B25" s="50" t="s">
        <v>85</v>
      </c>
      <c r="C25" s="34">
        <f>12/(IF($J$36="Yes",1,0)+1)*(IF($J$39="Yes",1,0)+1)</f>
        <v>12</v>
      </c>
      <c r="D25" s="34">
        <f t="shared" si="2"/>
        <v>6</v>
      </c>
      <c r="E25" s="25">
        <f t="shared" si="3"/>
        <v>6</v>
      </c>
      <c r="F25" s="46">
        <f t="shared" si="0"/>
        <v>3</v>
      </c>
      <c r="G25" s="26">
        <f t="shared" si="4"/>
        <v>1</v>
      </c>
      <c r="H25" s="27">
        <f t="shared" si="5"/>
        <v>12</v>
      </c>
      <c r="I25" s="138">
        <f t="shared" si="6"/>
        <v>3</v>
      </c>
      <c r="J25" s="28">
        <f t="shared" si="7"/>
        <v>4</v>
      </c>
      <c r="K25" s="126">
        <f t="shared" si="8"/>
        <v>1</v>
      </c>
      <c r="L25" s="50" t="str">
        <f t="shared" si="1"/>
        <v>Catfish</v>
      </c>
      <c r="M25" s="47"/>
      <c r="N25" s="34"/>
      <c r="O25" s="99"/>
      <c r="P25" s="99"/>
      <c r="Q25" s="99"/>
      <c r="R25" s="99"/>
      <c r="S25" s="99"/>
      <c r="T25" s="99"/>
      <c r="U25" s="99"/>
      <c r="V25" s="99"/>
      <c r="W25" s="99"/>
      <c r="X25" s="99"/>
      <c r="Y25" s="99">
        <v>0</v>
      </c>
      <c r="Z25" s="99">
        <v>0</v>
      </c>
      <c r="AA25" s="99">
        <v>0</v>
      </c>
      <c r="AB25" s="99"/>
      <c r="AC25" s="99"/>
      <c r="AD25" s="101"/>
      <c r="AE25" s="34"/>
    </row>
    <row r="26" spans="1:31" x14ac:dyDescent="0.25">
      <c r="A26" s="34"/>
      <c r="B26" s="129" t="s">
        <v>87</v>
      </c>
      <c r="C26" s="113">
        <f>30/(IF($J$36="Yes",1,0)+1)*(IF($J$39="Yes",1,0)+1)</f>
        <v>30</v>
      </c>
      <c r="D26" s="113">
        <f t="shared" si="2"/>
        <v>15</v>
      </c>
      <c r="E26" s="29">
        <f t="shared" si="3"/>
        <v>15</v>
      </c>
      <c r="F26" s="48">
        <f t="shared" si="0"/>
        <v>8</v>
      </c>
      <c r="G26" s="117">
        <f t="shared" si="4"/>
        <v>2</v>
      </c>
      <c r="H26" s="120">
        <f t="shared" si="5"/>
        <v>30</v>
      </c>
      <c r="I26" s="30">
        <f t="shared" si="6"/>
        <v>8</v>
      </c>
      <c r="J26" s="124">
        <f t="shared" si="7"/>
        <v>10</v>
      </c>
      <c r="K26" s="49">
        <f t="shared" si="8"/>
        <v>1</v>
      </c>
      <c r="L26" s="129" t="str">
        <f t="shared" si="1"/>
        <v>Yeti</v>
      </c>
      <c r="M26" s="47"/>
      <c r="N26" s="34"/>
      <c r="O26" s="100"/>
      <c r="P26" s="100"/>
      <c r="Q26" s="100"/>
      <c r="R26" s="100"/>
      <c r="S26" s="100"/>
      <c r="T26" s="100"/>
      <c r="U26" s="100"/>
      <c r="V26" s="100"/>
      <c r="W26" s="100"/>
      <c r="X26" s="100"/>
      <c r="Y26" s="200">
        <v>0</v>
      </c>
      <c r="Z26" s="200">
        <v>0</v>
      </c>
      <c r="AA26" s="100"/>
      <c r="AB26" s="100"/>
      <c r="AC26" s="100"/>
      <c r="AD26" s="101"/>
      <c r="AE26" s="34"/>
    </row>
    <row r="27" spans="1:31" x14ac:dyDescent="0.25">
      <c r="A27" s="34"/>
      <c r="B27" s="50" t="s">
        <v>88</v>
      </c>
      <c r="C27" s="34">
        <f>200/(IF($J$36="Yes",1,0)+1)*(IF($J$39="Yes",1,0)+1)</f>
        <v>200</v>
      </c>
      <c r="D27" s="34">
        <f t="shared" si="2"/>
        <v>100</v>
      </c>
      <c r="E27" s="25">
        <f t="shared" si="3"/>
        <v>100</v>
      </c>
      <c r="F27" s="46">
        <f t="shared" si="0"/>
        <v>50</v>
      </c>
      <c r="G27" s="26">
        <f t="shared" si="4"/>
        <v>12</v>
      </c>
      <c r="H27" s="27">
        <f t="shared" si="5"/>
        <v>200</v>
      </c>
      <c r="I27" s="138">
        <f t="shared" si="6"/>
        <v>50</v>
      </c>
      <c r="J27" s="28">
        <f t="shared" si="7"/>
        <v>67</v>
      </c>
      <c r="K27" s="126">
        <f t="shared" si="8"/>
        <v>7</v>
      </c>
      <c r="L27" s="50" t="str">
        <f t="shared" si="1"/>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90</v>
      </c>
      <c r="C28" s="113">
        <f>20/(IF($J$36="Yes",1,0)+1)*(IF($J$39="Yes",1,0)+1)</f>
        <v>20</v>
      </c>
      <c r="D28" s="113">
        <f t="shared" si="2"/>
        <v>10</v>
      </c>
      <c r="E28" s="29">
        <f t="shared" si="3"/>
        <v>10</v>
      </c>
      <c r="F28" s="48">
        <f t="shared" si="0"/>
        <v>5</v>
      </c>
      <c r="G28" s="117">
        <f t="shared" si="4"/>
        <v>2</v>
      </c>
      <c r="H28" s="120">
        <f t="shared" si="5"/>
        <v>20</v>
      </c>
      <c r="I28" s="30">
        <f t="shared" si="6"/>
        <v>5</v>
      </c>
      <c r="J28" s="124">
        <f t="shared" si="7"/>
        <v>7</v>
      </c>
      <c r="K28" s="49">
        <f t="shared" si="8"/>
        <v>1</v>
      </c>
      <c r="L28" s="129" t="str">
        <f t="shared" si="1"/>
        <v>Eagle</v>
      </c>
      <c r="M28" s="47"/>
      <c r="N28" s="34"/>
      <c r="O28" s="100"/>
      <c r="P28" s="100"/>
      <c r="Q28" s="100"/>
      <c r="R28" s="100"/>
      <c r="S28" s="100"/>
      <c r="T28" s="100"/>
      <c r="U28" s="100"/>
      <c r="V28" s="100"/>
      <c r="W28" s="200">
        <v>1</v>
      </c>
      <c r="X28" s="100"/>
      <c r="Y28" s="100"/>
      <c r="Z28" s="100"/>
      <c r="AA28" s="200">
        <v>2</v>
      </c>
      <c r="AB28" s="100"/>
      <c r="AC28" s="100"/>
      <c r="AD28" s="101"/>
      <c r="AE28" s="34"/>
    </row>
    <row r="29" spans="1:31" x14ac:dyDescent="0.25">
      <c r="A29" s="34"/>
      <c r="B29" s="50" t="s">
        <v>91</v>
      </c>
      <c r="C29" s="34">
        <f>40/(IF($J$36="Yes",1,0)+1)*(IF($J$39="Yes",1,0)+1)</f>
        <v>40</v>
      </c>
      <c r="D29" s="34">
        <f t="shared" si="2"/>
        <v>20</v>
      </c>
      <c r="E29" s="25">
        <f t="shared" si="3"/>
        <v>20</v>
      </c>
      <c r="F29" s="46">
        <f t="shared" si="0"/>
        <v>10</v>
      </c>
      <c r="G29" s="26">
        <f t="shared" si="4"/>
        <v>3</v>
      </c>
      <c r="H29" s="27">
        <f t="shared" si="5"/>
        <v>40</v>
      </c>
      <c r="I29" s="138">
        <f t="shared" si="6"/>
        <v>10</v>
      </c>
      <c r="J29" s="28">
        <f t="shared" si="7"/>
        <v>14</v>
      </c>
      <c r="K29" s="126">
        <f t="shared" si="8"/>
        <v>2</v>
      </c>
      <c r="L29" s="50" t="str">
        <f t="shared" si="1"/>
        <v>Giant Spider</v>
      </c>
      <c r="M29" s="47"/>
      <c r="N29" s="34"/>
      <c r="O29" s="99"/>
      <c r="P29" s="99"/>
      <c r="Q29" s="99"/>
      <c r="R29" s="99"/>
      <c r="S29" s="99"/>
      <c r="T29" s="99"/>
      <c r="U29" s="99"/>
      <c r="V29" s="99"/>
      <c r="W29" s="99"/>
      <c r="X29" s="99"/>
      <c r="Y29" s="99"/>
      <c r="Z29" s="99"/>
      <c r="AA29" s="99">
        <v>0</v>
      </c>
      <c r="AB29" s="99"/>
      <c r="AC29" s="99"/>
      <c r="AD29" s="101"/>
      <c r="AE29" s="34"/>
    </row>
    <row r="30" spans="1:31" x14ac:dyDescent="0.25">
      <c r="A30" s="34"/>
      <c r="B30" s="129" t="s">
        <v>93</v>
      </c>
      <c r="C30" s="113">
        <f>80/(IF($J$36="Yes",1,0)+1)*(IF($J$39="Yes",1,0)+1)</f>
        <v>80</v>
      </c>
      <c r="D30" s="113">
        <f t="shared" si="2"/>
        <v>40</v>
      </c>
      <c r="E30" s="29">
        <f t="shared" si="3"/>
        <v>40</v>
      </c>
      <c r="F30" s="48">
        <f t="shared" si="0"/>
        <v>20</v>
      </c>
      <c r="G30" s="117">
        <f t="shared" si="4"/>
        <v>5</v>
      </c>
      <c r="H30" s="120">
        <f t="shared" si="5"/>
        <v>80</v>
      </c>
      <c r="I30" s="30">
        <f t="shared" si="6"/>
        <v>20</v>
      </c>
      <c r="J30" s="124">
        <f t="shared" si="7"/>
        <v>27</v>
      </c>
      <c r="K30" s="49">
        <f t="shared" si="8"/>
        <v>3</v>
      </c>
      <c r="L30" s="129" t="str">
        <f t="shared" si="1"/>
        <v>Sword Statue</v>
      </c>
      <c r="M30" s="47"/>
      <c r="N30" s="34"/>
      <c r="O30" s="100"/>
      <c r="P30" s="100"/>
      <c r="Q30" s="100"/>
      <c r="R30" s="100"/>
      <c r="S30" s="100"/>
      <c r="T30" s="100"/>
      <c r="U30" s="100"/>
      <c r="V30" s="100"/>
      <c r="W30" s="100"/>
      <c r="X30" s="100"/>
      <c r="Y30" s="100"/>
      <c r="Z30" s="100"/>
      <c r="AA30" s="100"/>
      <c r="AB30" s="200">
        <v>0</v>
      </c>
      <c r="AC30" s="100"/>
      <c r="AD30" s="101"/>
      <c r="AE30" s="34"/>
    </row>
    <row r="31" spans="1:31" x14ac:dyDescent="0.25">
      <c r="A31" s="34"/>
      <c r="B31" s="50" t="s">
        <v>94</v>
      </c>
      <c r="C31" s="34">
        <f>100/(IF($J$36="Yes",1,0)+1)*(IF($J$39="Yes",1,0)+1)</f>
        <v>100</v>
      </c>
      <c r="D31" s="34">
        <f t="shared" si="2"/>
        <v>50</v>
      </c>
      <c r="E31" s="25">
        <f t="shared" si="3"/>
        <v>50</v>
      </c>
      <c r="F31" s="46">
        <f t="shared" si="0"/>
        <v>25</v>
      </c>
      <c r="G31" s="26">
        <f t="shared" si="4"/>
        <v>6</v>
      </c>
      <c r="H31" s="27">
        <f t="shared" si="5"/>
        <v>100</v>
      </c>
      <c r="I31" s="138">
        <f t="shared" si="6"/>
        <v>25</v>
      </c>
      <c r="J31" s="28">
        <f t="shared" si="7"/>
        <v>34</v>
      </c>
      <c r="K31" s="126">
        <f t="shared" si="8"/>
        <v>4</v>
      </c>
      <c r="L31" s="50" t="str">
        <f t="shared" si="1"/>
        <v>Spear Statue</v>
      </c>
      <c r="M31" s="47"/>
      <c r="N31" s="34"/>
      <c r="O31" s="99"/>
      <c r="P31" s="99"/>
      <c r="Q31" s="99"/>
      <c r="R31" s="99"/>
      <c r="S31" s="99"/>
      <c r="T31" s="99"/>
      <c r="U31" s="99"/>
      <c r="V31" s="99"/>
      <c r="W31" s="99"/>
      <c r="X31" s="99"/>
      <c r="Y31" s="99"/>
      <c r="Z31" s="99"/>
      <c r="AA31" s="99"/>
      <c r="AB31" s="99">
        <v>0</v>
      </c>
      <c r="AC31" s="99">
        <v>1</v>
      </c>
      <c r="AD31" s="101"/>
      <c r="AE31" s="34"/>
    </row>
    <row r="32" spans="1:31" x14ac:dyDescent="0.25">
      <c r="A32" s="34"/>
      <c r="B32" s="129" t="s">
        <v>95</v>
      </c>
      <c r="C32" s="113">
        <f>60/(IF($J$36="Yes",1,0)+1)*(IF($J$39="Yes",1,0)+1)</f>
        <v>60</v>
      </c>
      <c r="D32" s="113">
        <f t="shared" si="2"/>
        <v>30</v>
      </c>
      <c r="E32" s="29">
        <f t="shared" si="3"/>
        <v>30</v>
      </c>
      <c r="F32" s="48">
        <f t="shared" si="0"/>
        <v>15</v>
      </c>
      <c r="G32" s="119">
        <f t="shared" si="4"/>
        <v>4</v>
      </c>
      <c r="H32" s="120">
        <f t="shared" si="5"/>
        <v>60</v>
      </c>
      <c r="I32" s="30">
        <f t="shared" si="6"/>
        <v>15</v>
      </c>
      <c r="J32" s="124">
        <f t="shared" si="7"/>
        <v>20</v>
      </c>
      <c r="K32" s="49">
        <f t="shared" si="8"/>
        <v>2</v>
      </c>
      <c r="L32" s="129" t="str">
        <f t="shared" si="1"/>
        <v>Bartoli's Monk</v>
      </c>
      <c r="M32" s="47"/>
      <c r="N32" s="34"/>
      <c r="O32" s="100"/>
      <c r="P32" s="100"/>
      <c r="Q32" s="100"/>
      <c r="R32" s="100"/>
      <c r="S32" s="100"/>
      <c r="T32" s="100"/>
      <c r="U32" s="100"/>
      <c r="V32" s="100"/>
      <c r="W32" s="100"/>
      <c r="X32" s="100"/>
      <c r="Y32" s="100"/>
      <c r="Z32" s="100"/>
      <c r="AA32" s="100"/>
      <c r="AB32" s="200">
        <v>0</v>
      </c>
      <c r="AC32" s="200">
        <v>1</v>
      </c>
      <c r="AD32" s="101"/>
      <c r="AE32" s="34"/>
    </row>
    <row r="33" spans="1:31" x14ac:dyDescent="0.25">
      <c r="A33" s="34"/>
      <c r="B33" s="51" t="s">
        <v>54</v>
      </c>
      <c r="C33" s="52">
        <f>300/(IF($J$36="Yes",1,0)+1)*(IF($J$39="Yes",1,0)+1)</f>
        <v>300</v>
      </c>
      <c r="D33" s="53">
        <f t="shared" si="2"/>
        <v>150</v>
      </c>
      <c r="E33" s="54">
        <f t="shared" si="3"/>
        <v>150</v>
      </c>
      <c r="F33" s="55">
        <f t="shared" si="0"/>
        <v>75</v>
      </c>
      <c r="G33" s="56">
        <f t="shared" si="4"/>
        <v>17</v>
      </c>
      <c r="H33" s="57">
        <f t="shared" si="5"/>
        <v>300</v>
      </c>
      <c r="I33" s="139">
        <f t="shared" si="6"/>
        <v>75</v>
      </c>
      <c r="J33" s="58">
        <f t="shared" si="7"/>
        <v>100</v>
      </c>
      <c r="K33" s="127">
        <f t="shared" si="8"/>
        <v>10</v>
      </c>
      <c r="L33" s="130" t="str">
        <f t="shared" si="1"/>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99</v>
      </c>
      <c r="M34" s="179" t="s">
        <v>134</v>
      </c>
      <c r="N34" s="180" t="s">
        <v>134</v>
      </c>
      <c r="O34" s="180" t="s">
        <v>134</v>
      </c>
      <c r="P34" s="180" t="s">
        <v>134</v>
      </c>
      <c r="Q34" s="180" t="s">
        <v>134</v>
      </c>
      <c r="R34" s="180" t="s">
        <v>134</v>
      </c>
      <c r="S34" s="180" t="s">
        <v>134</v>
      </c>
      <c r="T34" s="180" t="s">
        <v>134</v>
      </c>
      <c r="U34" s="180" t="s">
        <v>134</v>
      </c>
      <c r="V34" s="180" t="s">
        <v>134</v>
      </c>
      <c r="W34" s="180" t="s">
        <v>134</v>
      </c>
      <c r="X34" s="180" t="s">
        <v>134</v>
      </c>
      <c r="Y34" s="180" t="s">
        <v>134</v>
      </c>
      <c r="Z34" s="180" t="s">
        <v>134</v>
      </c>
      <c r="AA34" s="180" t="s">
        <v>134</v>
      </c>
      <c r="AB34" s="180" t="s">
        <v>134</v>
      </c>
      <c r="AC34" s="180" t="s">
        <v>100</v>
      </c>
      <c r="AD34" s="181" t="s">
        <v>100</v>
      </c>
      <c r="AE34" s="34"/>
    </row>
    <row r="35" spans="1:31" x14ac:dyDescent="0.25">
      <c r="A35" s="59"/>
      <c r="B35" s="368" t="s">
        <v>101</v>
      </c>
      <c r="C35" s="109" t="s">
        <v>15</v>
      </c>
      <c r="D35" s="61" t="s">
        <v>16</v>
      </c>
      <c r="E35" s="62" t="s">
        <v>155</v>
      </c>
      <c r="F35" s="63" t="s">
        <v>35</v>
      </c>
      <c r="G35" s="64" t="s">
        <v>20</v>
      </c>
      <c r="H35" s="128" t="s">
        <v>38</v>
      </c>
      <c r="I35" s="34"/>
      <c r="J35" s="177" t="s">
        <v>102</v>
      </c>
      <c r="K35" s="34"/>
      <c r="L35" s="65" t="s">
        <v>103</v>
      </c>
      <c r="M35" s="362" t="s">
        <v>104</v>
      </c>
      <c r="N35" s="316"/>
      <c r="O35" s="316"/>
      <c r="P35" s="316"/>
      <c r="Q35" s="316"/>
      <c r="R35" s="316"/>
      <c r="S35" s="316"/>
      <c r="T35" s="316"/>
      <c r="U35" s="316"/>
      <c r="V35" s="316"/>
      <c r="W35" s="316"/>
      <c r="X35" s="316"/>
      <c r="Y35" s="316"/>
      <c r="Z35" s="316"/>
      <c r="AA35" s="316"/>
      <c r="AB35" s="316"/>
      <c r="AC35" s="316"/>
      <c r="AD35" s="317"/>
      <c r="AE35" s="34"/>
    </row>
    <row r="36" spans="1:31" x14ac:dyDescent="0.25">
      <c r="A36" s="59"/>
      <c r="B36" s="339"/>
      <c r="C36" s="29">
        <v>40</v>
      </c>
      <c r="D36" s="118">
        <v>2</v>
      </c>
      <c r="E36" s="122">
        <v>80</v>
      </c>
      <c r="F36" s="66">
        <v>3</v>
      </c>
      <c r="G36" s="131">
        <v>40</v>
      </c>
      <c r="H36" s="67">
        <v>2</v>
      </c>
      <c r="I36" s="34"/>
      <c r="J36" s="178" t="s">
        <v>132</v>
      </c>
      <c r="K36" s="34"/>
      <c r="L36" s="68" t="s">
        <v>105</v>
      </c>
      <c r="M36" s="69">
        <f>M5*$D$5+M6*$D$6+M7*$D$7+M8*$D$8</f>
        <v>20</v>
      </c>
      <c r="N36" s="69">
        <f t="shared" ref="N36:O36" si="9">N9*$D$9+N10*$D$10+N11*$D$11+N12*$D$12</f>
        <v>0</v>
      </c>
      <c r="O36" s="69">
        <f t="shared" si="9"/>
        <v>45</v>
      </c>
      <c r="P36" s="69">
        <f>P9*$D$9+P10*$D$10+P11*$D$11+P12*$D$12+P13*$D$13</f>
        <v>0</v>
      </c>
      <c r="Q36" s="69">
        <f>Q10*$D$10+Q11*$D$11+Q14*$D$14+Q15*$D$15+Q17*$D$17</f>
        <v>66</v>
      </c>
      <c r="R36" s="69">
        <f>R10*$D$10+R11*$D$11+R14*$D$14+R15*$D$15+R16+$D$16+R17*$D$17</f>
        <v>115</v>
      </c>
      <c r="S36" s="69">
        <f>S11*$D$11+S14*$D$14+S17*$D$17+S18*$D$18+S19*$D$19</f>
        <v>0</v>
      </c>
      <c r="T36" s="69">
        <f>T11*$D$11+T14*$D$14+T15*$D$15+T17*$D$17+T18*$D$18+T19*$D$19</f>
        <v>51</v>
      </c>
      <c r="U36" s="69">
        <f>U11*$D$11+U14*$D$14+U17*$D$17+U19*$D$19</f>
        <v>27</v>
      </c>
      <c r="V36" s="69">
        <f>V11*$D$11+V14*$D$14+V16*$D$16+V17*$D$17+V18*$D$18+V19*$D$19</f>
        <v>34</v>
      </c>
      <c r="W36" s="69">
        <f>W21*$D$21+W22*$D$22+W23*$D$23+W28*$D$28</f>
        <v>60</v>
      </c>
      <c r="X36" s="69">
        <f>X6*$D$6+X20*$D$20+X21*$D$21+X24*$D$24</f>
        <v>0</v>
      </c>
      <c r="Y36" s="69">
        <f>Y20*$D$20+Y21*$D$21+Y23*$D$23+Y25*$D$25+Y26*$D$26</f>
        <v>0</v>
      </c>
      <c r="Z36" s="69">
        <f>Z5*$D$5+Z25*$D$25+Z26*$D$26+Z27*$D$27</f>
        <v>130</v>
      </c>
      <c r="AA36" s="69">
        <f>AA5*$D$5+AA7*$D$7+AA25*$D$25+AA28*$D$28+AA29*$D$29</f>
        <v>20</v>
      </c>
      <c r="AB36" s="69">
        <f>AB30*$D$30+AB31*$D$31+AB32*$D$32</f>
        <v>0</v>
      </c>
      <c r="AC36" s="69">
        <f>AC31*$D$31+AC32*$D$32+AC33*$D$33</f>
        <v>230</v>
      </c>
      <c r="AD36" s="70" t="s">
        <v>100</v>
      </c>
      <c r="AE36" s="34"/>
    </row>
    <row r="37" spans="1:31" x14ac:dyDescent="0.25">
      <c r="A37" s="34"/>
      <c r="B37" s="369" t="s">
        <v>106</v>
      </c>
      <c r="C37" s="366"/>
      <c r="D37" s="366"/>
      <c r="E37" s="366"/>
      <c r="F37" s="366"/>
      <c r="G37" s="366"/>
      <c r="H37" s="367"/>
      <c r="I37" s="34"/>
      <c r="J37" s="71"/>
      <c r="K37" s="34"/>
      <c r="L37" s="72" t="s">
        <v>107</v>
      </c>
      <c r="M37" s="46" t="s">
        <v>100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73" t="s">
        <v>100</v>
      </c>
      <c r="AE37" s="34"/>
    </row>
    <row r="38" spans="1:31" x14ac:dyDescent="0.25">
      <c r="A38" s="34"/>
      <c r="B38" s="365" t="s">
        <v>108</v>
      </c>
      <c r="C38" s="366"/>
      <c r="D38" s="366"/>
      <c r="E38" s="366"/>
      <c r="F38" s="366"/>
      <c r="G38" s="366"/>
      <c r="H38" s="367"/>
      <c r="I38" s="34"/>
      <c r="J38" s="177" t="s">
        <v>109</v>
      </c>
      <c r="K38" s="34"/>
      <c r="L38" s="26" t="s">
        <v>110</v>
      </c>
      <c r="M38" s="74">
        <v>0</v>
      </c>
      <c r="N38" s="74">
        <v>0</v>
      </c>
      <c r="O38" s="74">
        <v>0</v>
      </c>
      <c r="P38" s="74">
        <v>0</v>
      </c>
      <c r="Q38" s="74">
        <v>0</v>
      </c>
      <c r="R38" s="74">
        <v>0</v>
      </c>
      <c r="S38" s="74">
        <v>0</v>
      </c>
      <c r="T38" s="74">
        <v>0</v>
      </c>
      <c r="U38" s="74">
        <v>0</v>
      </c>
      <c r="V38" s="74">
        <v>0</v>
      </c>
      <c r="W38" s="74">
        <v>0</v>
      </c>
      <c r="X38" s="74">
        <v>0</v>
      </c>
      <c r="Y38" s="74">
        <v>0</v>
      </c>
      <c r="Z38" s="74">
        <v>0</v>
      </c>
      <c r="AA38" s="74">
        <v>0</v>
      </c>
      <c r="AB38" s="74">
        <v>0</v>
      </c>
      <c r="AC38" s="74">
        <v>0</v>
      </c>
      <c r="AD38" s="75">
        <f>AD10+(AD11+AD12)*2+9</f>
        <v>35</v>
      </c>
      <c r="AE38" s="34"/>
    </row>
    <row r="39" spans="1:31" x14ac:dyDescent="0.25">
      <c r="A39" s="34"/>
      <c r="B39" s="365" t="s">
        <v>137</v>
      </c>
      <c r="C39" s="366"/>
      <c r="D39" s="366"/>
      <c r="E39" s="366"/>
      <c r="F39" s="366"/>
      <c r="G39" s="366"/>
      <c r="H39" s="367"/>
      <c r="I39" s="34"/>
      <c r="J39" s="178" t="s">
        <v>132</v>
      </c>
      <c r="K39" s="34"/>
      <c r="L39" s="76" t="s">
        <v>111</v>
      </c>
      <c r="M39" s="77" t="s">
        <v>100</v>
      </c>
      <c r="N39" s="77" t="s">
        <v>100</v>
      </c>
      <c r="O39" s="77">
        <v>0</v>
      </c>
      <c r="P39" s="77">
        <v>0</v>
      </c>
      <c r="Q39" s="77">
        <v>0</v>
      </c>
      <c r="R39" s="77">
        <v>0</v>
      </c>
      <c r="S39" s="77">
        <v>0</v>
      </c>
      <c r="T39" s="77">
        <v>0</v>
      </c>
      <c r="U39" s="77">
        <v>0</v>
      </c>
      <c r="V39" s="77">
        <v>0</v>
      </c>
      <c r="W39" s="77">
        <v>0</v>
      </c>
      <c r="X39" s="77">
        <v>0</v>
      </c>
      <c r="Y39" s="77">
        <v>0</v>
      </c>
      <c r="Z39" s="77">
        <v>0</v>
      </c>
      <c r="AA39" s="77">
        <v>0</v>
      </c>
      <c r="AB39" s="77">
        <v>0</v>
      </c>
      <c r="AC39" s="77">
        <v>0</v>
      </c>
      <c r="AD39" s="78" t="s">
        <v>100</v>
      </c>
      <c r="AE39" s="34"/>
    </row>
    <row r="40" spans="1:31" x14ac:dyDescent="0.25">
      <c r="A40" s="34"/>
      <c r="B40" s="365" t="s">
        <v>112</v>
      </c>
      <c r="C40" s="366"/>
      <c r="D40" s="366"/>
      <c r="E40" s="366"/>
      <c r="F40" s="366"/>
      <c r="G40" s="366"/>
      <c r="H40" s="367"/>
      <c r="I40" s="34"/>
      <c r="J40" s="34"/>
      <c r="K40" s="34"/>
      <c r="L40" s="254" t="s">
        <v>35</v>
      </c>
      <c r="M40" s="255" t="s">
        <v>100</v>
      </c>
      <c r="N40" s="255" t="s">
        <v>100</v>
      </c>
      <c r="O40" s="255" t="s">
        <v>100</v>
      </c>
      <c r="P40" s="255" t="s">
        <v>100</v>
      </c>
      <c r="Q40" s="255">
        <v>0</v>
      </c>
      <c r="R40" s="255">
        <v>0</v>
      </c>
      <c r="S40" s="255">
        <v>0</v>
      </c>
      <c r="T40" s="255">
        <v>0</v>
      </c>
      <c r="U40" s="255">
        <v>0</v>
      </c>
      <c r="V40" s="255">
        <v>0</v>
      </c>
      <c r="W40" s="255">
        <v>0</v>
      </c>
      <c r="X40" s="255">
        <v>0</v>
      </c>
      <c r="Y40" s="255">
        <v>0</v>
      </c>
      <c r="Z40" s="255">
        <v>0</v>
      </c>
      <c r="AA40" s="255">
        <v>0</v>
      </c>
      <c r="AB40" s="255">
        <v>0</v>
      </c>
      <c r="AC40" s="255">
        <v>0</v>
      </c>
      <c r="AD40" s="256" t="s">
        <v>100</v>
      </c>
      <c r="AE40" s="34"/>
    </row>
    <row r="41" spans="1:31" x14ac:dyDescent="0.25">
      <c r="A41" s="34"/>
      <c r="B41" s="358" t="s">
        <v>119</v>
      </c>
      <c r="C41" s="359"/>
      <c r="D41" s="359"/>
      <c r="E41" s="359"/>
      <c r="F41" s="359"/>
      <c r="G41" s="359"/>
      <c r="H41" s="360"/>
      <c r="I41" s="34"/>
      <c r="J41" s="34"/>
      <c r="K41" s="34"/>
      <c r="L41" s="80" t="s">
        <v>113</v>
      </c>
      <c r="M41" s="81" t="s">
        <v>100</v>
      </c>
      <c r="N41" s="81" t="s">
        <v>100</v>
      </c>
      <c r="O41" s="81" t="s">
        <v>100</v>
      </c>
      <c r="P41" s="81" t="s">
        <v>100</v>
      </c>
      <c r="Q41" s="81" t="s">
        <v>100</v>
      </c>
      <c r="R41" s="81">
        <v>0</v>
      </c>
      <c r="S41" s="82">
        <v>0</v>
      </c>
      <c r="T41" s="82">
        <v>0</v>
      </c>
      <c r="U41" s="82">
        <v>0</v>
      </c>
      <c r="V41" s="82">
        <v>0</v>
      </c>
      <c r="W41" s="82">
        <v>0</v>
      </c>
      <c r="X41" s="82">
        <v>0</v>
      </c>
      <c r="Y41" s="82">
        <v>0</v>
      </c>
      <c r="Z41" s="82">
        <v>0</v>
      </c>
      <c r="AA41" s="82">
        <v>0</v>
      </c>
      <c r="AB41" s="82">
        <v>0</v>
      </c>
      <c r="AC41" s="82">
        <v>0</v>
      </c>
      <c r="AD41" s="83" t="s">
        <v>100</v>
      </c>
      <c r="AE41" s="34"/>
    </row>
    <row r="42" spans="1:31" ht="15.75" customHeight="1" x14ac:dyDescent="0.25">
      <c r="A42" s="59"/>
      <c r="B42" s="345" t="s">
        <v>149</v>
      </c>
      <c r="C42" s="346"/>
      <c r="D42" s="346"/>
      <c r="E42" s="346"/>
      <c r="F42" s="346"/>
      <c r="G42" s="346"/>
      <c r="H42" s="347"/>
      <c r="I42" s="34"/>
      <c r="J42" s="34"/>
      <c r="K42" s="34"/>
      <c r="L42" s="140" t="s">
        <v>38</v>
      </c>
      <c r="M42" s="141">
        <v>0</v>
      </c>
      <c r="N42" s="141">
        <v>0</v>
      </c>
      <c r="O42" s="141">
        <v>0</v>
      </c>
      <c r="P42" s="141">
        <v>0</v>
      </c>
      <c r="Q42" s="141" t="s">
        <v>100</v>
      </c>
      <c r="R42" s="141" t="s">
        <v>100</v>
      </c>
      <c r="S42" s="141" t="s">
        <v>100</v>
      </c>
      <c r="T42" s="141">
        <v>0</v>
      </c>
      <c r="U42" s="141">
        <v>0</v>
      </c>
      <c r="V42" s="141">
        <v>0</v>
      </c>
      <c r="W42" s="141">
        <v>0</v>
      </c>
      <c r="X42" s="141">
        <v>0</v>
      </c>
      <c r="Y42" s="141">
        <v>0</v>
      </c>
      <c r="Z42" s="141">
        <v>0</v>
      </c>
      <c r="AA42" s="141">
        <v>0</v>
      </c>
      <c r="AB42" s="141">
        <v>0</v>
      </c>
      <c r="AC42" s="142">
        <f>K33</f>
        <v>10</v>
      </c>
      <c r="AD42" s="143" t="s">
        <v>100</v>
      </c>
      <c r="AE42" s="34"/>
    </row>
    <row r="43" spans="1:31" x14ac:dyDescent="0.25">
      <c r="A43" s="59"/>
      <c r="B43" s="348"/>
      <c r="C43" s="349"/>
      <c r="D43" s="349"/>
      <c r="E43" s="349"/>
      <c r="F43" s="349"/>
      <c r="G43" s="349"/>
      <c r="H43" s="350"/>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8"/>
      <c r="C44" s="349"/>
      <c r="D44" s="349"/>
      <c r="E44" s="349"/>
      <c r="F44" s="349"/>
      <c r="G44" s="349"/>
      <c r="H44" s="350"/>
      <c r="I44" s="34"/>
      <c r="J44" s="34"/>
      <c r="K44" s="34"/>
      <c r="L44" s="338" t="s">
        <v>7</v>
      </c>
      <c r="M44" s="341" t="s">
        <v>114</v>
      </c>
      <c r="N44" s="342"/>
      <c r="O44" s="342"/>
      <c r="P44" s="342"/>
      <c r="Q44" s="342"/>
      <c r="R44" s="342"/>
      <c r="S44" s="342"/>
      <c r="T44" s="342"/>
      <c r="U44" s="342"/>
      <c r="V44" s="342"/>
      <c r="W44" s="342"/>
      <c r="X44" s="342"/>
      <c r="Y44" s="342"/>
      <c r="Z44" s="342"/>
      <c r="AA44" s="342"/>
      <c r="AB44" s="342"/>
      <c r="AC44" s="342"/>
      <c r="AD44" s="343"/>
      <c r="AE44" s="34"/>
    </row>
    <row r="45" spans="1:31" x14ac:dyDescent="0.25">
      <c r="A45" s="59"/>
      <c r="B45" s="348"/>
      <c r="C45" s="349"/>
      <c r="D45" s="349"/>
      <c r="E45" s="349"/>
      <c r="F45" s="349"/>
      <c r="G45" s="349"/>
      <c r="H45" s="350"/>
      <c r="I45" s="34"/>
      <c r="J45" s="34"/>
      <c r="K45" s="34"/>
      <c r="L45" s="339"/>
      <c r="M45" s="337" t="s">
        <v>15</v>
      </c>
      <c r="N45" s="319"/>
      <c r="O45" s="319"/>
      <c r="P45" s="340" t="s">
        <v>16</v>
      </c>
      <c r="Q45" s="319"/>
      <c r="R45" s="319"/>
      <c r="S45" s="344" t="s">
        <v>17</v>
      </c>
      <c r="T45" s="319"/>
      <c r="U45" s="319"/>
      <c r="V45" s="370" t="s">
        <v>35</v>
      </c>
      <c r="W45" s="371"/>
      <c r="X45" s="372"/>
      <c r="Y45" s="336" t="s">
        <v>20</v>
      </c>
      <c r="Z45" s="319"/>
      <c r="AA45" s="319"/>
      <c r="AB45" s="373" t="s">
        <v>38</v>
      </c>
      <c r="AC45" s="374"/>
      <c r="AD45" s="375"/>
      <c r="AE45" s="34"/>
    </row>
    <row r="46" spans="1:31" x14ac:dyDescent="0.25">
      <c r="A46" s="59"/>
      <c r="B46" s="348"/>
      <c r="C46" s="349"/>
      <c r="D46" s="349"/>
      <c r="E46" s="349"/>
      <c r="F46" s="349"/>
      <c r="G46" s="349"/>
      <c r="H46" s="350"/>
      <c r="I46" s="34"/>
      <c r="J46" s="34"/>
      <c r="K46" s="34"/>
      <c r="L46" s="339"/>
      <c r="M46" s="208" t="s">
        <v>115</v>
      </c>
      <c r="N46" s="209" t="s">
        <v>36</v>
      </c>
      <c r="O46" s="209" t="s">
        <v>116</v>
      </c>
      <c r="P46" s="118" t="s">
        <v>115</v>
      </c>
      <c r="Q46" s="210" t="s">
        <v>36</v>
      </c>
      <c r="R46" s="133" t="s">
        <v>116</v>
      </c>
      <c r="S46" s="211" t="s">
        <v>115</v>
      </c>
      <c r="T46" s="211" t="s">
        <v>36</v>
      </c>
      <c r="U46" s="211" t="s">
        <v>116</v>
      </c>
      <c r="V46" s="93" t="s">
        <v>115</v>
      </c>
      <c r="W46" s="144" t="s">
        <v>36</v>
      </c>
      <c r="X46" s="66" t="s">
        <v>116</v>
      </c>
      <c r="Y46" s="212" t="s">
        <v>115</v>
      </c>
      <c r="Z46" s="212" t="s">
        <v>36</v>
      </c>
      <c r="AA46" s="212" t="s">
        <v>116</v>
      </c>
      <c r="AB46" s="84" t="s">
        <v>115</v>
      </c>
      <c r="AC46" s="213" t="s">
        <v>36</v>
      </c>
      <c r="AD46" s="214" t="s">
        <v>116</v>
      </c>
      <c r="AE46" s="34"/>
    </row>
    <row r="47" spans="1:31" x14ac:dyDescent="0.25">
      <c r="A47" s="59"/>
      <c r="B47" s="348"/>
      <c r="C47" s="349"/>
      <c r="D47" s="349"/>
      <c r="E47" s="349"/>
      <c r="F47" s="349"/>
      <c r="G47" s="349"/>
      <c r="H47" s="350"/>
      <c r="I47" s="34"/>
      <c r="J47" s="34"/>
      <c r="K47" s="34"/>
      <c r="L47" s="85" t="str">
        <f>M4</f>
        <v>Great Wall</v>
      </c>
      <c r="M47" s="215" t="str">
        <f>M37</f>
        <v>--</v>
      </c>
      <c r="N47" s="86">
        <v>0</v>
      </c>
      <c r="O47" s="86">
        <f>IF(ISNUMBER(N47),N47*$C$36,0)-IF(ISNUMBER(M47),M47,0)</f>
        <v>0</v>
      </c>
      <c r="P47" s="61">
        <f>M38</f>
        <v>0</v>
      </c>
      <c r="Q47" s="87">
        <v>1</v>
      </c>
      <c r="R47" s="88">
        <f>2+IF(ISNUMBER(Q47),Q47*$D$36,0)-IF(ISNUMBER(P47),P47,0)</f>
        <v>4</v>
      </c>
      <c r="S47" s="89" t="str">
        <f>M39</f>
        <v>--</v>
      </c>
      <c r="T47" s="89" t="s">
        <v>100</v>
      </c>
      <c r="U47" s="89" t="s">
        <v>100</v>
      </c>
      <c r="V47" s="90" t="s">
        <v>100</v>
      </c>
      <c r="W47" s="110" t="s">
        <v>100</v>
      </c>
      <c r="X47" s="63" t="s">
        <v>100</v>
      </c>
      <c r="Y47" s="91" t="s">
        <v>100</v>
      </c>
      <c r="Z47" s="91" t="s">
        <v>100</v>
      </c>
      <c r="AA47" s="91" t="s">
        <v>100</v>
      </c>
      <c r="AB47" s="134">
        <f>M42</f>
        <v>0</v>
      </c>
      <c r="AC47" s="135">
        <v>0</v>
      </c>
      <c r="AD47" s="216">
        <f>IF(ISNUMBER(AC47),AC47*$H$36,0)-IF(ISNUMBER(AB47),AB47,0)+IF(M$34="Yes",6,0)</f>
        <v>6</v>
      </c>
      <c r="AE47" s="34"/>
    </row>
    <row r="48" spans="1:31" x14ac:dyDescent="0.25">
      <c r="A48" s="59"/>
      <c r="B48" s="351"/>
      <c r="C48" s="352"/>
      <c r="D48" s="352"/>
      <c r="E48" s="352"/>
      <c r="F48" s="352"/>
      <c r="G48" s="352"/>
      <c r="H48" s="353"/>
      <c r="I48" s="34"/>
      <c r="J48" s="34"/>
      <c r="K48" s="34"/>
      <c r="L48" s="92" t="str">
        <f>N4</f>
        <v>Venice</v>
      </c>
      <c r="M48" s="208">
        <f>N37*2</f>
        <v>0</v>
      </c>
      <c r="N48" s="209">
        <v>0</v>
      </c>
      <c r="O48" s="209">
        <f>O47+IF(ISNUMBER(N48),N48*$C$36,0)-IF(ISNUMBER(M48),M48,0)+IF(N$34="Yes",160,0)</f>
        <v>160</v>
      </c>
      <c r="P48" s="118">
        <f>N38</f>
        <v>0</v>
      </c>
      <c r="Q48" s="210">
        <v>0</v>
      </c>
      <c r="R48" s="133">
        <f>R47+IF(ISNUMBER(Q48),Q48*$D$36,0)-IF(ISNUMBER(P48),P48,0)</f>
        <v>4</v>
      </c>
      <c r="S48" s="211" t="str">
        <f>N39</f>
        <v>--</v>
      </c>
      <c r="T48" s="211">
        <v>0</v>
      </c>
      <c r="U48" s="211">
        <f>IF(ISNUMBER(T48),T48*$E$36,0)-IF(ISNUMBER(S48),S48,0)</f>
        <v>0</v>
      </c>
      <c r="V48" s="93" t="s">
        <v>100</v>
      </c>
      <c r="W48" s="144" t="s">
        <v>100</v>
      </c>
      <c r="X48" s="66" t="s">
        <v>100</v>
      </c>
      <c r="Y48" s="212" t="s">
        <v>100</v>
      </c>
      <c r="Z48" s="212">
        <v>0</v>
      </c>
      <c r="AA48" s="212">
        <f>IF(ISNUMBER(Z48),Z48*$G$36,0)-IF(ISNUMBER(Y48),Y48,0)</f>
        <v>0</v>
      </c>
      <c r="AB48" s="84">
        <f>N42</f>
        <v>0</v>
      </c>
      <c r="AC48" s="213" t="s">
        <v>100</v>
      </c>
      <c r="AD48" s="214">
        <f>AD47+IF(ISNUMBER(AC48),AC48*$H$36,0)-IF(ISNUMBER(AB48),AB48,0)</f>
        <v>6</v>
      </c>
      <c r="AE48" s="34"/>
    </row>
    <row r="49" spans="1:31" x14ac:dyDescent="0.25">
      <c r="A49" s="34"/>
      <c r="B49" s="34"/>
      <c r="C49" s="34"/>
      <c r="D49" s="34"/>
      <c r="E49" s="34"/>
      <c r="F49" s="34"/>
      <c r="G49" s="34"/>
      <c r="H49" s="34"/>
      <c r="I49" s="34"/>
      <c r="J49" s="34"/>
      <c r="K49" s="34"/>
      <c r="L49" s="94" t="str">
        <f>O4</f>
        <v>Hideout</v>
      </c>
      <c r="M49" s="217">
        <f>O37*2</f>
        <v>0</v>
      </c>
      <c r="N49" s="218">
        <v>0</v>
      </c>
      <c r="O49" s="218">
        <f>O48+IF(ISNUMBER(N49),N49*$C$36,0)-IF(ISNUMBER(M49),M49,0)</f>
        <v>160</v>
      </c>
      <c r="P49" s="95">
        <f>O38</f>
        <v>0</v>
      </c>
      <c r="Q49" s="219">
        <v>1</v>
      </c>
      <c r="R49" s="75">
        <f>R48+IF(ISNUMBER(Q49),Q49*$D$36,0)-IF(ISNUMBER(P49),P49,0)+IF(O$34="Yes",8,0)</f>
        <v>14</v>
      </c>
      <c r="S49" s="220">
        <f>O39</f>
        <v>0</v>
      </c>
      <c r="T49" s="220">
        <v>0</v>
      </c>
      <c r="U49" s="220">
        <f>U48+IF(ISNUMBER(T49),T49*$E$36,0)-IF(ISNUMBER(S49),S49,0)</f>
        <v>0</v>
      </c>
      <c r="V49" s="96" t="s">
        <v>100</v>
      </c>
      <c r="W49" s="221" t="s">
        <v>100</v>
      </c>
      <c r="X49" s="79" t="s">
        <v>100</v>
      </c>
      <c r="Y49" s="222" t="s">
        <v>100</v>
      </c>
      <c r="Z49" s="222" t="s">
        <v>100</v>
      </c>
      <c r="AA49" s="222">
        <f>AA48+IF(ISNUMBER(Z49),Z49*$G$36,0)-IF(ISNUMBER(Y49),Y49,0)</f>
        <v>0</v>
      </c>
      <c r="AB49" s="136">
        <f>O42</f>
        <v>0</v>
      </c>
      <c r="AC49" s="223">
        <v>0</v>
      </c>
      <c r="AD49" s="224">
        <f t="shared" ref="AD49:AD63" si="10">AD48+IF(ISNUMBER(AC49),AC49*$H$36,0)-IF(ISNUMBER(AB49),AB49,0)</f>
        <v>6</v>
      </c>
      <c r="AE49" s="34"/>
    </row>
    <row r="50" spans="1:31" x14ac:dyDescent="0.25">
      <c r="A50" s="34"/>
      <c r="B50" s="34"/>
      <c r="C50" s="34"/>
      <c r="D50" s="34"/>
      <c r="E50" s="34"/>
      <c r="F50" s="34"/>
      <c r="G50" s="34"/>
      <c r="H50" s="34"/>
      <c r="I50" s="34"/>
      <c r="J50" s="34"/>
      <c r="K50" s="34"/>
      <c r="L50" s="92" t="str">
        <f>P4</f>
        <v>Opera</v>
      </c>
      <c r="M50" s="208">
        <f>P37*2</f>
        <v>0</v>
      </c>
      <c r="N50" s="209">
        <v>0</v>
      </c>
      <c r="O50" s="209">
        <f t="shared" ref="O50:O63" si="11">O49+IF(ISNUMBER(N50),N50*$C$36,0)-IF(ISNUMBER(M50),M50,0)</f>
        <v>160</v>
      </c>
      <c r="P50" s="118">
        <f>P38</f>
        <v>0</v>
      </c>
      <c r="Q50" s="210">
        <v>0</v>
      </c>
      <c r="R50" s="133">
        <f>R49+IF(ISNUMBER(Q50),Q50*$D$36,0)-IF(ISNUMBER(P50),P50,0)</f>
        <v>14</v>
      </c>
      <c r="S50" s="211">
        <f>P39</f>
        <v>0</v>
      </c>
      <c r="T50" s="211">
        <v>0</v>
      </c>
      <c r="U50" s="211">
        <f>U49+IF(ISNUMBER(T50),T50*$E$36,0)-IF(ISNUMBER(S50),S50,0)+IF(P$34="Yes",320,0)</f>
        <v>320</v>
      </c>
      <c r="V50" s="93" t="s">
        <v>100</v>
      </c>
      <c r="W50" s="144" t="s">
        <v>100</v>
      </c>
      <c r="X50" s="66" t="s">
        <v>100</v>
      </c>
      <c r="Y50" s="212" t="s">
        <v>100</v>
      </c>
      <c r="Z50" s="212" t="s">
        <v>100</v>
      </c>
      <c r="AA50" s="212">
        <f t="shared" ref="AA50:AA53" si="12">AA49+IF(ISNUMBER(Z50),Z50*$G$36,0)-IF(ISNUMBER(Y50),Y50,0)</f>
        <v>0</v>
      </c>
      <c r="AB50" s="84">
        <f>P42</f>
        <v>0</v>
      </c>
      <c r="AC50" s="213">
        <v>0</v>
      </c>
      <c r="AD50" s="214">
        <f t="shared" si="10"/>
        <v>6</v>
      </c>
      <c r="AE50" s="34"/>
    </row>
    <row r="51" spans="1:31" x14ac:dyDescent="0.25">
      <c r="A51" s="34"/>
      <c r="B51" s="34"/>
      <c r="C51" s="34"/>
      <c r="D51" s="34"/>
      <c r="E51" s="34"/>
      <c r="F51" s="34"/>
      <c r="G51" s="34"/>
      <c r="H51" s="34"/>
      <c r="I51" s="34"/>
      <c r="J51" s="34"/>
      <c r="K51" s="34"/>
      <c r="L51" s="94" t="str">
        <f>Q4</f>
        <v>Offshore</v>
      </c>
      <c r="M51" s="217">
        <f>Q37*2</f>
        <v>0</v>
      </c>
      <c r="N51" s="218">
        <v>2</v>
      </c>
      <c r="O51" s="218">
        <f t="shared" si="11"/>
        <v>240</v>
      </c>
      <c r="P51" s="95">
        <f>Q38</f>
        <v>0</v>
      </c>
      <c r="Q51" s="219">
        <v>0</v>
      </c>
      <c r="R51" s="75">
        <f t="shared" ref="R51:R63" si="13">R50+IF(ISNUMBER(Q51),Q51*$D$36,0)-IF(ISNUMBER(P51),P51,0)</f>
        <v>14</v>
      </c>
      <c r="S51" s="220">
        <f>Q39</f>
        <v>0</v>
      </c>
      <c r="T51" s="220">
        <v>0</v>
      </c>
      <c r="U51" s="220">
        <f>U50+IF(ISNUMBER(T51),T51*$E$36,0)-IF(ISNUMBER(S51),S51,0)+IF(Q$34="Yes",240,0)</f>
        <v>560</v>
      </c>
      <c r="V51" s="96">
        <f>Q40</f>
        <v>0</v>
      </c>
      <c r="W51" s="221">
        <v>0</v>
      </c>
      <c r="X51" s="79">
        <f>IF(ISNUMBER(W51),W51*$F$36,0)-IF(ISNUMBER(V51),V51,0)</f>
        <v>0</v>
      </c>
      <c r="Y51" s="222" t="s">
        <v>100</v>
      </c>
      <c r="Z51" s="222" t="s">
        <v>100</v>
      </c>
      <c r="AA51" s="222">
        <f t="shared" si="12"/>
        <v>0</v>
      </c>
      <c r="AB51" s="136" t="s">
        <v>100</v>
      </c>
      <c r="AC51" s="223" t="s">
        <v>100</v>
      </c>
      <c r="AD51" s="224">
        <f t="shared" si="10"/>
        <v>6</v>
      </c>
      <c r="AE51" s="34"/>
    </row>
    <row r="52" spans="1:31" x14ac:dyDescent="0.25">
      <c r="A52" s="34"/>
      <c r="B52" s="34"/>
      <c r="C52" s="34"/>
      <c r="D52" s="34"/>
      <c r="E52" s="34"/>
      <c r="F52" s="34"/>
      <c r="G52" s="34"/>
      <c r="H52" s="34"/>
      <c r="I52" s="34"/>
      <c r="J52" s="34"/>
      <c r="K52" s="34"/>
      <c r="L52" s="92" t="str">
        <f>R4</f>
        <v>Diving</v>
      </c>
      <c r="M52" s="208">
        <f>R37*2</f>
        <v>0</v>
      </c>
      <c r="N52" s="209">
        <v>2</v>
      </c>
      <c r="O52" s="209">
        <f t="shared" si="11"/>
        <v>320</v>
      </c>
      <c r="P52" s="118">
        <f>R38</f>
        <v>0</v>
      </c>
      <c r="Q52" s="210">
        <v>0</v>
      </c>
      <c r="R52" s="133">
        <f t="shared" si="13"/>
        <v>14</v>
      </c>
      <c r="S52" s="211">
        <f>R39</f>
        <v>0</v>
      </c>
      <c r="T52" s="211">
        <v>0</v>
      </c>
      <c r="U52" s="211">
        <f>U51+IF(ISNUMBER(T52),T52*$E$36,0)-IF(ISNUMBER(S52),S52,0)+IF(R$34="Yes",320,0)</f>
        <v>880</v>
      </c>
      <c r="V52" s="93">
        <f>R40</f>
        <v>0</v>
      </c>
      <c r="W52" s="144">
        <v>0</v>
      </c>
      <c r="X52" s="66">
        <f>X51+IF(ISNUMBER(W52),W52*$F$36,0)-IF(ISNUMBER(V52),V52,0)</f>
        <v>0</v>
      </c>
      <c r="Y52" s="212">
        <f>R41</f>
        <v>0</v>
      </c>
      <c r="Z52" s="212">
        <v>0</v>
      </c>
      <c r="AA52" s="212">
        <f t="shared" si="12"/>
        <v>0</v>
      </c>
      <c r="AB52" s="84" t="s">
        <v>100</v>
      </c>
      <c r="AC52" s="213">
        <v>0</v>
      </c>
      <c r="AD52" s="214">
        <f t="shared" si="10"/>
        <v>6</v>
      </c>
      <c r="AE52" s="34"/>
    </row>
    <row r="53" spans="1:31" x14ac:dyDescent="0.25">
      <c r="A53" s="34"/>
      <c r="B53" s="34"/>
      <c r="C53" s="34"/>
      <c r="D53" s="34"/>
      <c r="E53" s="34"/>
      <c r="F53" s="34"/>
      <c r="G53" s="34"/>
      <c r="H53" s="34"/>
      <c r="I53" s="34"/>
      <c r="J53" s="34"/>
      <c r="K53" s="34"/>
      <c r="L53" s="94" t="str">
        <f>S4</f>
        <v>Fathoms</v>
      </c>
      <c r="M53" s="217">
        <f>S37*2</f>
        <v>0</v>
      </c>
      <c r="N53" s="218" t="s">
        <v>100</v>
      </c>
      <c r="O53" s="218">
        <f t="shared" si="11"/>
        <v>320</v>
      </c>
      <c r="P53" s="95">
        <f>S38</f>
        <v>0</v>
      </c>
      <c r="Q53" s="219">
        <v>0</v>
      </c>
      <c r="R53" s="75">
        <f t="shared" si="13"/>
        <v>14</v>
      </c>
      <c r="S53" s="220">
        <f>S39</f>
        <v>0</v>
      </c>
      <c r="T53" s="220" t="s">
        <v>100</v>
      </c>
      <c r="U53" s="220">
        <f>U52+IF(ISNUMBER(T53),T53*$E$36,0)-IF(ISNUMBER(S53),S53,0)</f>
        <v>880</v>
      </c>
      <c r="V53" s="96">
        <f>S40</f>
        <v>0</v>
      </c>
      <c r="W53" s="221">
        <v>0</v>
      </c>
      <c r="X53" s="79">
        <f>X52+IF(ISNUMBER(W53),W53*$F$36,0)-IF(ISNUMBER(V53),V53,0)+IF(S$34="Yes",12,0)</f>
        <v>12</v>
      </c>
      <c r="Y53" s="222">
        <f>S41</f>
        <v>0</v>
      </c>
      <c r="Z53" s="222" t="s">
        <v>100</v>
      </c>
      <c r="AA53" s="222">
        <f t="shared" si="12"/>
        <v>0</v>
      </c>
      <c r="AB53" s="136" t="s">
        <v>100</v>
      </c>
      <c r="AC53" s="223" t="s">
        <v>100</v>
      </c>
      <c r="AD53" s="224">
        <f t="shared" si="10"/>
        <v>6</v>
      </c>
      <c r="AE53" s="34"/>
    </row>
    <row r="54" spans="1:31" x14ac:dyDescent="0.25">
      <c r="A54" s="34"/>
      <c r="B54" s="34"/>
      <c r="C54" s="34"/>
      <c r="D54" s="34"/>
      <c r="E54" s="34"/>
      <c r="F54" s="34"/>
      <c r="G54" s="34"/>
      <c r="H54" s="34"/>
      <c r="I54" s="34"/>
      <c r="J54" s="34"/>
      <c r="K54" s="34"/>
      <c r="L54" s="92" t="str">
        <f>T4</f>
        <v>Maria Doria</v>
      </c>
      <c r="M54" s="208">
        <f>T37*2</f>
        <v>0</v>
      </c>
      <c r="N54" s="209">
        <v>2</v>
      </c>
      <c r="O54" s="209">
        <f t="shared" si="11"/>
        <v>400</v>
      </c>
      <c r="P54" s="118">
        <f>T38</f>
        <v>0</v>
      </c>
      <c r="Q54" s="210">
        <v>0</v>
      </c>
      <c r="R54" s="133">
        <f t="shared" si="13"/>
        <v>14</v>
      </c>
      <c r="S54" s="211">
        <f>T39</f>
        <v>0</v>
      </c>
      <c r="T54" s="211">
        <v>0</v>
      </c>
      <c r="U54" s="211">
        <f>U53+IF(ISNUMBER(T54),T54*$E$36,0)-IF(ISNUMBER(S54),S54,0)</f>
        <v>880</v>
      </c>
      <c r="V54" s="93">
        <f>T40</f>
        <v>0</v>
      </c>
      <c r="W54" s="144">
        <v>0</v>
      </c>
      <c r="X54" s="66">
        <f>X53+IF(ISNUMBER(W54),W54*$F$36,0)-IF(ISNUMBER(V54),V54,0)</f>
        <v>12</v>
      </c>
      <c r="Y54" s="212">
        <f>T41</f>
        <v>0</v>
      </c>
      <c r="Z54" s="212">
        <v>0</v>
      </c>
      <c r="AA54" s="212">
        <f>AA53+IF(ISNUMBER(Z54),Z54*$G$36,0)-IF(ISNUMBER(Y54),Y54,0)</f>
        <v>0</v>
      </c>
      <c r="AB54" s="84">
        <f>T42</f>
        <v>0</v>
      </c>
      <c r="AC54" s="213">
        <v>0</v>
      </c>
      <c r="AD54" s="214">
        <f>AD53+IF(ISNUMBER(AC54),AC54*$H$36,0)-IF(ISNUMBER(AB54),AB54,0)+IF(T$34="Yes",6,0)</f>
        <v>12</v>
      </c>
      <c r="AE54" s="34"/>
    </row>
    <row r="55" spans="1:31" x14ac:dyDescent="0.25">
      <c r="A55" s="34"/>
      <c r="B55" s="34"/>
      <c r="C55" s="34"/>
      <c r="D55" s="34"/>
      <c r="E55" s="34"/>
      <c r="F55" s="34"/>
      <c r="G55" s="34"/>
      <c r="H55" s="34"/>
      <c r="I55" s="34"/>
      <c r="J55" s="34"/>
      <c r="K55" s="34"/>
      <c r="L55" s="94" t="str">
        <f>U4</f>
        <v>Living</v>
      </c>
      <c r="M55" s="217">
        <f>U37*2</f>
        <v>0</v>
      </c>
      <c r="N55" s="218">
        <v>0</v>
      </c>
      <c r="O55" s="218">
        <f t="shared" si="11"/>
        <v>400</v>
      </c>
      <c r="P55" s="95">
        <f>U38</f>
        <v>0</v>
      </c>
      <c r="Q55" s="219">
        <v>0</v>
      </c>
      <c r="R55" s="75">
        <f t="shared" si="13"/>
        <v>14</v>
      </c>
      <c r="S55" s="220">
        <f>U39</f>
        <v>0</v>
      </c>
      <c r="T55" s="220">
        <v>0</v>
      </c>
      <c r="U55" s="220">
        <f>U54+IF(ISNUMBER(T55),T55*$E$36,0)-IF(ISNUMBER(S55),S55,0)</f>
        <v>880</v>
      </c>
      <c r="V55" s="96">
        <f>U40</f>
        <v>0</v>
      </c>
      <c r="W55" s="221">
        <v>0</v>
      </c>
      <c r="X55" s="79">
        <f t="shared" ref="X55:X63" si="14">X54+IF(ISNUMBER(W55),W55*$F$36,0)-IF(ISNUMBER(V55),V55,0)</f>
        <v>12</v>
      </c>
      <c r="Y55" s="222">
        <f>U41</f>
        <v>0</v>
      </c>
      <c r="Z55" s="222">
        <v>0</v>
      </c>
      <c r="AA55" s="222">
        <f>AA54+IF(ISNUMBER(Z55),Z55*$G$36,0)-IF(ISNUMBER(Y55),Y55,0)+IF(U$34="Yes",160,0)</f>
        <v>160</v>
      </c>
      <c r="AB55" s="136">
        <f>U42</f>
        <v>0</v>
      </c>
      <c r="AC55" s="223" t="s">
        <v>100</v>
      </c>
      <c r="AD55" s="224">
        <f t="shared" si="10"/>
        <v>12</v>
      </c>
      <c r="AE55" s="34"/>
    </row>
    <row r="56" spans="1:31" x14ac:dyDescent="0.25">
      <c r="A56" s="34"/>
      <c r="B56" s="34"/>
      <c r="C56" s="34"/>
      <c r="D56" s="34"/>
      <c r="E56" s="34"/>
      <c r="F56" s="34"/>
      <c r="G56" s="34"/>
      <c r="H56" s="34"/>
      <c r="I56" s="34"/>
      <c r="J56" s="34"/>
      <c r="K56" s="34"/>
      <c r="L56" s="92" t="str">
        <f>V4</f>
        <v>The Deck</v>
      </c>
      <c r="M56" s="208">
        <f>V37*2</f>
        <v>0</v>
      </c>
      <c r="N56" s="209">
        <v>0</v>
      </c>
      <c r="O56" s="209">
        <f t="shared" si="11"/>
        <v>400</v>
      </c>
      <c r="P56" s="118">
        <f>V38</f>
        <v>0</v>
      </c>
      <c r="Q56" s="210">
        <v>0</v>
      </c>
      <c r="R56" s="133">
        <f t="shared" si="13"/>
        <v>14</v>
      </c>
      <c r="S56" s="211">
        <f>V39</f>
        <v>0</v>
      </c>
      <c r="T56" s="211">
        <v>0</v>
      </c>
      <c r="U56" s="211">
        <f>U55+IF(ISNUMBER(T56),T56*$E$36,0)-IF(ISNUMBER(S56),S56,0)</f>
        <v>880</v>
      </c>
      <c r="V56" s="93">
        <f>V40</f>
        <v>0</v>
      </c>
      <c r="W56" s="144">
        <v>0</v>
      </c>
      <c r="X56" s="66">
        <f t="shared" si="14"/>
        <v>12</v>
      </c>
      <c r="Y56" s="212">
        <f>V41</f>
        <v>0</v>
      </c>
      <c r="Z56" s="212">
        <v>0</v>
      </c>
      <c r="AA56" s="212">
        <f t="shared" ref="AA56:AA57" si="15">AA55+IF(ISNUMBER(Z56),Z56*$G$36,0)-IF(ISNUMBER(Y56),Y56,0)</f>
        <v>160</v>
      </c>
      <c r="AB56" s="84">
        <f>V42</f>
        <v>0</v>
      </c>
      <c r="AC56" s="213">
        <v>2</v>
      </c>
      <c r="AD56" s="214">
        <f>AD55+IF(ISNUMBER(AC56),AC56*$H$36,0)-IF(ISNUMBER(AB56),AB56,0)+IF(V$34="Yes",8,0)</f>
        <v>24</v>
      </c>
      <c r="AE56" s="34"/>
    </row>
    <row r="57" spans="1:31" x14ac:dyDescent="0.25">
      <c r="A57" s="34"/>
      <c r="B57" s="34"/>
      <c r="C57" s="34"/>
      <c r="D57" s="34"/>
      <c r="E57" s="34"/>
      <c r="F57" s="34"/>
      <c r="G57" s="34"/>
      <c r="H57" s="34"/>
      <c r="I57" s="34"/>
      <c r="J57" s="34"/>
      <c r="K57" s="34"/>
      <c r="L57" s="94" t="str">
        <f>W4</f>
        <v>Foothills</v>
      </c>
      <c r="M57" s="217">
        <f>W37*2</f>
        <v>0</v>
      </c>
      <c r="N57" s="218">
        <v>0</v>
      </c>
      <c r="O57" s="218">
        <f t="shared" si="11"/>
        <v>400</v>
      </c>
      <c r="P57" s="95">
        <f>W38</f>
        <v>0</v>
      </c>
      <c r="Q57" s="219">
        <v>0</v>
      </c>
      <c r="R57" s="75">
        <f t="shared" si="13"/>
        <v>14</v>
      </c>
      <c r="S57" s="220">
        <f>W39</f>
        <v>0</v>
      </c>
      <c r="T57" s="220">
        <v>0</v>
      </c>
      <c r="U57" s="220">
        <f>U56+IF(ISNUMBER(T57),T57*$E$36,0)-IF(ISNUMBER(S57),S57,0)+IF(W$34="Yes",320,0)</f>
        <v>1200</v>
      </c>
      <c r="V57" s="96">
        <f>W40</f>
        <v>0</v>
      </c>
      <c r="W57" s="221" t="s">
        <v>100</v>
      </c>
      <c r="X57" s="79">
        <f t="shared" si="14"/>
        <v>12</v>
      </c>
      <c r="Y57" s="222">
        <f>W41</f>
        <v>0</v>
      </c>
      <c r="Z57" s="222">
        <v>0</v>
      </c>
      <c r="AA57" s="222">
        <f t="shared" si="15"/>
        <v>160</v>
      </c>
      <c r="AB57" s="136">
        <f>W42</f>
        <v>0</v>
      </c>
      <c r="AC57" s="223">
        <v>2</v>
      </c>
      <c r="AD57" s="224">
        <f t="shared" si="10"/>
        <v>28</v>
      </c>
      <c r="AE57" s="34"/>
    </row>
    <row r="58" spans="1:31" x14ac:dyDescent="0.25">
      <c r="A58" s="34"/>
      <c r="B58" s="34"/>
      <c r="C58" s="34"/>
      <c r="D58" s="34"/>
      <c r="E58" s="34"/>
      <c r="F58" s="34"/>
      <c r="G58" s="34"/>
      <c r="H58" s="34"/>
      <c r="I58" s="34"/>
      <c r="J58" s="34"/>
      <c r="K58" s="34"/>
      <c r="L58" s="92" t="str">
        <f>X4</f>
        <v>Barkhang</v>
      </c>
      <c r="M58" s="208">
        <f>X37*2</f>
        <v>0</v>
      </c>
      <c r="N58" s="209">
        <v>0</v>
      </c>
      <c r="O58" s="209">
        <f t="shared" si="11"/>
        <v>400</v>
      </c>
      <c r="P58" s="118">
        <f>X38</f>
        <v>0</v>
      </c>
      <c r="Q58" s="210">
        <v>0</v>
      </c>
      <c r="R58" s="133">
        <f t="shared" si="13"/>
        <v>14</v>
      </c>
      <c r="S58" s="211">
        <f>X39</f>
        <v>0</v>
      </c>
      <c r="T58" s="211">
        <v>0</v>
      </c>
      <c r="U58" s="211">
        <f>U57+IF(ISNUMBER(T58),T58*$E$36,0)-IF(ISNUMBER(S58),S58,0)</f>
        <v>1200</v>
      </c>
      <c r="V58" s="93">
        <f>X40</f>
        <v>0</v>
      </c>
      <c r="W58" s="144">
        <v>0</v>
      </c>
      <c r="X58" s="66">
        <f t="shared" si="14"/>
        <v>12</v>
      </c>
      <c r="Y58" s="212">
        <f>X41</f>
        <v>0</v>
      </c>
      <c r="Z58" s="212">
        <v>0</v>
      </c>
      <c r="AA58" s="212">
        <f>AA57+IF(ISNUMBER(Z58),Z58*$G$36,0)-IF(ISNUMBER(Y58),Y58,0)+IF(X$34="Yes",160,0)</f>
        <v>320</v>
      </c>
      <c r="AB58" s="84">
        <f>X42</f>
        <v>0</v>
      </c>
      <c r="AC58" s="213">
        <v>0</v>
      </c>
      <c r="AD58" s="214">
        <f t="shared" si="10"/>
        <v>28</v>
      </c>
      <c r="AE58" s="34"/>
    </row>
    <row r="59" spans="1:31" x14ac:dyDescent="0.25">
      <c r="A59" s="34"/>
      <c r="B59" s="34"/>
      <c r="C59" s="34"/>
      <c r="D59" s="34"/>
      <c r="E59" s="34"/>
      <c r="F59" s="34"/>
      <c r="G59" s="34"/>
      <c r="H59" s="34"/>
      <c r="I59" s="34"/>
      <c r="J59" s="34"/>
      <c r="K59" s="34"/>
      <c r="L59" s="94" t="str">
        <f>Y4</f>
        <v>Catacombs</v>
      </c>
      <c r="M59" s="217">
        <f>Y37*2</f>
        <v>0</v>
      </c>
      <c r="N59" s="218">
        <v>0</v>
      </c>
      <c r="O59" s="218">
        <f t="shared" si="11"/>
        <v>400</v>
      </c>
      <c r="P59" s="95">
        <f>Y38</f>
        <v>0</v>
      </c>
      <c r="Q59" s="219">
        <v>0</v>
      </c>
      <c r="R59" s="75">
        <f t="shared" si="13"/>
        <v>14</v>
      </c>
      <c r="S59" s="220">
        <f>Y39</f>
        <v>0</v>
      </c>
      <c r="T59" s="220">
        <v>0</v>
      </c>
      <c r="U59" s="220">
        <f>U58+IF(ISNUMBER(T59),T59*$E$36,0)-IF(ISNUMBER(S59),S59,0)</f>
        <v>1200</v>
      </c>
      <c r="V59" s="96">
        <f>Y40</f>
        <v>0</v>
      </c>
      <c r="W59" s="221" t="s">
        <v>100</v>
      </c>
      <c r="X59" s="79">
        <f t="shared" si="14"/>
        <v>12</v>
      </c>
      <c r="Y59" s="222">
        <f>Y41</f>
        <v>0</v>
      </c>
      <c r="Z59" s="222">
        <v>0</v>
      </c>
      <c r="AA59" s="222">
        <f>AA58+IF(ISNUMBER(Z59),Z59*$G$36,0)-IF(ISNUMBER(Y59),Y59,0)+IF(Y$34="Yes",80,0)</f>
        <v>400</v>
      </c>
      <c r="AB59" s="136">
        <f>Y42</f>
        <v>0</v>
      </c>
      <c r="AC59" s="223">
        <v>1</v>
      </c>
      <c r="AD59" s="224">
        <f>AD58+IF(ISNUMBER(AC59),AC59*$H$36,0)-IF(ISNUMBER(AB59),AB59,0)+IF(Y$34="Yes",4,0)</f>
        <v>34</v>
      </c>
      <c r="AE59" s="34"/>
    </row>
    <row r="60" spans="1:31" x14ac:dyDescent="0.25">
      <c r="A60" s="34"/>
      <c r="B60" s="34"/>
      <c r="C60" s="34"/>
      <c r="D60" s="34"/>
      <c r="E60" s="34"/>
      <c r="F60" s="34"/>
      <c r="G60" s="34"/>
      <c r="H60" s="34"/>
      <c r="I60" s="34"/>
      <c r="J60" s="34"/>
      <c r="K60" s="34"/>
      <c r="L60" s="92" t="str">
        <f>Z4</f>
        <v>Ice Palace</v>
      </c>
      <c r="M60" s="208">
        <f>Z37*2</f>
        <v>0</v>
      </c>
      <c r="N60" s="209">
        <v>0</v>
      </c>
      <c r="O60" s="209">
        <f t="shared" si="11"/>
        <v>400</v>
      </c>
      <c r="P60" s="118">
        <f>Z38</f>
        <v>0</v>
      </c>
      <c r="Q60" s="210">
        <v>0</v>
      </c>
      <c r="R60" s="133">
        <f t="shared" si="13"/>
        <v>14</v>
      </c>
      <c r="S60" s="211">
        <f>Z39</f>
        <v>0</v>
      </c>
      <c r="T60" s="211">
        <v>0</v>
      </c>
      <c r="U60" s="211">
        <f>U59+IF(ISNUMBER(T60),T60*$E$36,0)-IF(ISNUMBER(S60),S60,0)</f>
        <v>1200</v>
      </c>
      <c r="V60" s="93">
        <f>Z40</f>
        <v>0</v>
      </c>
      <c r="W60" s="144" t="s">
        <v>100</v>
      </c>
      <c r="X60" s="66">
        <f t="shared" si="14"/>
        <v>12</v>
      </c>
      <c r="Y60" s="212">
        <f>Z41</f>
        <v>0</v>
      </c>
      <c r="Z60" s="212" t="s">
        <v>100</v>
      </c>
      <c r="AA60" s="212">
        <f t="shared" ref="AA60:AA63" si="16">AA59+IF(ISNUMBER(Z60),Z60*$G$36,0)-IF(ISNUMBER(Y60),Y60,0)</f>
        <v>400</v>
      </c>
      <c r="AB60" s="84">
        <f>Z42</f>
        <v>0</v>
      </c>
      <c r="AC60" s="213">
        <v>0</v>
      </c>
      <c r="AD60" s="214">
        <f>AD59+IF(ISNUMBER(AC60),AC60*$H$36,0)-IF(ISNUMBER(AB60),AB60,0)+IF(Z$34="Yes",8,0)</f>
        <v>42</v>
      </c>
      <c r="AE60" s="34"/>
    </row>
    <row r="61" spans="1:31" x14ac:dyDescent="0.25">
      <c r="A61" s="34"/>
      <c r="B61" s="34"/>
      <c r="C61" s="34"/>
      <c r="D61" s="34"/>
      <c r="E61" s="34"/>
      <c r="F61" s="34"/>
      <c r="G61" s="34"/>
      <c r="H61" s="34"/>
      <c r="I61" s="34"/>
      <c r="J61" s="34"/>
      <c r="K61" s="34"/>
      <c r="L61" s="94" t="str">
        <f>AA4</f>
        <v>Xian</v>
      </c>
      <c r="M61" s="217">
        <f>AA37*2</f>
        <v>0</v>
      </c>
      <c r="N61" s="218">
        <v>0</v>
      </c>
      <c r="O61" s="218">
        <f t="shared" si="11"/>
        <v>400</v>
      </c>
      <c r="P61" s="95">
        <f>AA38</f>
        <v>0</v>
      </c>
      <c r="Q61" s="219">
        <v>0</v>
      </c>
      <c r="R61" s="75">
        <f t="shared" si="13"/>
        <v>14</v>
      </c>
      <c r="S61" s="220">
        <f>AA39</f>
        <v>0</v>
      </c>
      <c r="T61" s="220">
        <v>0</v>
      </c>
      <c r="U61" s="220">
        <f>U60+IF(ISNUMBER(T61),T61*$E$36,0)-IF(ISNUMBER(S61),S61,0)+IF(AA$34="Yes",640,0)</f>
        <v>1840</v>
      </c>
      <c r="V61" s="96">
        <f>AA40</f>
        <v>0</v>
      </c>
      <c r="W61" s="221" t="s">
        <v>100</v>
      </c>
      <c r="X61" s="79">
        <f t="shared" si="14"/>
        <v>12</v>
      </c>
      <c r="Y61" s="222">
        <f>AA41</f>
        <v>0</v>
      </c>
      <c r="Z61" s="222">
        <v>0</v>
      </c>
      <c r="AA61" s="222">
        <f t="shared" si="16"/>
        <v>400</v>
      </c>
      <c r="AB61" s="136">
        <f>AA42</f>
        <v>0</v>
      </c>
      <c r="AC61" s="223">
        <v>0</v>
      </c>
      <c r="AD61" s="224">
        <f t="shared" si="10"/>
        <v>42</v>
      </c>
      <c r="AE61" s="34"/>
    </row>
    <row r="62" spans="1:31" x14ac:dyDescent="0.25">
      <c r="A62" s="34"/>
      <c r="B62" s="34"/>
      <c r="C62" s="34"/>
      <c r="D62" s="34"/>
      <c r="E62" s="34"/>
      <c r="F62" s="34"/>
      <c r="G62" s="34"/>
      <c r="H62" s="34"/>
      <c r="I62" s="34"/>
      <c r="J62" s="34"/>
      <c r="K62" s="34"/>
      <c r="L62" s="92" t="str">
        <f>AB4</f>
        <v>Floating</v>
      </c>
      <c r="M62" s="208">
        <f>AB37*2</f>
        <v>0</v>
      </c>
      <c r="N62" s="209">
        <v>0</v>
      </c>
      <c r="O62" s="209">
        <f t="shared" si="11"/>
        <v>400</v>
      </c>
      <c r="P62" s="118">
        <f>AB38</f>
        <v>0</v>
      </c>
      <c r="Q62" s="210">
        <v>0</v>
      </c>
      <c r="R62" s="133">
        <f t="shared" si="13"/>
        <v>14</v>
      </c>
      <c r="S62" s="211">
        <f>AB39</f>
        <v>0</v>
      </c>
      <c r="T62" s="211">
        <v>0</v>
      </c>
      <c r="U62" s="211">
        <f>U61+IF(ISNUMBER(T62),T62*$E$36,0)-IF(ISNUMBER(S62),S62,0)</f>
        <v>1840</v>
      </c>
      <c r="V62" s="93">
        <f>AB40</f>
        <v>0</v>
      </c>
      <c r="W62" s="144" t="s">
        <v>100</v>
      </c>
      <c r="X62" s="66">
        <f t="shared" si="14"/>
        <v>12</v>
      </c>
      <c r="Y62" s="212">
        <f>AB41</f>
        <v>0</v>
      </c>
      <c r="Z62" s="212">
        <v>0</v>
      </c>
      <c r="AA62" s="212">
        <f t="shared" si="16"/>
        <v>400</v>
      </c>
      <c r="AB62" s="84">
        <f>AB42</f>
        <v>0</v>
      </c>
      <c r="AC62" s="213">
        <v>0</v>
      </c>
      <c r="AD62" s="214">
        <f>AD61+IF(ISNUMBER(AC62),AC62*$H$36,0)-IF(ISNUMBER(AB62),AB62,0)+IF(AB$34="Yes",16,0)</f>
        <v>58</v>
      </c>
      <c r="AE62" s="34"/>
    </row>
    <row r="63" spans="1:31" x14ac:dyDescent="0.25">
      <c r="A63" s="34"/>
      <c r="B63" s="34"/>
      <c r="C63" s="34"/>
      <c r="D63" s="34"/>
      <c r="E63" s="34"/>
      <c r="F63" s="34"/>
      <c r="G63" s="34"/>
      <c r="H63" s="34"/>
      <c r="I63" s="34"/>
      <c r="J63" s="34"/>
      <c r="K63" s="34"/>
      <c r="L63" s="94" t="str">
        <f>AC4</f>
        <v>Dragon</v>
      </c>
      <c r="M63" s="217">
        <f>AC37*2</f>
        <v>0</v>
      </c>
      <c r="N63" s="218" t="s">
        <v>100</v>
      </c>
      <c r="O63" s="218">
        <f t="shared" si="11"/>
        <v>400</v>
      </c>
      <c r="P63" s="95">
        <f>AC38</f>
        <v>0</v>
      </c>
      <c r="Q63" s="219" t="s">
        <v>100</v>
      </c>
      <c r="R63" s="75">
        <f t="shared" si="13"/>
        <v>14</v>
      </c>
      <c r="S63" s="220">
        <f>AC39</f>
        <v>0</v>
      </c>
      <c r="T63" s="220">
        <v>0</v>
      </c>
      <c r="U63" s="220">
        <f>U62+IF(ISNUMBER(T63),T63*$E$36,0)-IF(ISNUMBER(S63),S63,0)</f>
        <v>1840</v>
      </c>
      <c r="V63" s="96">
        <f>AC40</f>
        <v>0</v>
      </c>
      <c r="W63" s="221" t="s">
        <v>100</v>
      </c>
      <c r="X63" s="79">
        <f t="shared" si="14"/>
        <v>12</v>
      </c>
      <c r="Y63" s="222">
        <f>AC41</f>
        <v>0</v>
      </c>
      <c r="Z63" s="222" t="s">
        <v>100</v>
      </c>
      <c r="AA63" s="222">
        <f t="shared" si="16"/>
        <v>400</v>
      </c>
      <c r="AB63" s="136">
        <f>AC42</f>
        <v>10</v>
      </c>
      <c r="AC63" s="223" t="s">
        <v>100</v>
      </c>
      <c r="AD63" s="224">
        <f t="shared" si="10"/>
        <v>48</v>
      </c>
      <c r="AE63" s="34"/>
    </row>
    <row r="64" spans="1:31" x14ac:dyDescent="0.25">
      <c r="A64" s="34"/>
      <c r="B64" s="34"/>
      <c r="C64" s="34"/>
      <c r="D64" s="34"/>
      <c r="E64" s="34"/>
      <c r="F64" s="34"/>
      <c r="G64" s="34"/>
      <c r="H64" s="34"/>
      <c r="I64" s="34"/>
      <c r="J64" s="34"/>
      <c r="K64" s="34"/>
      <c r="L64" s="97" t="str">
        <f>AD4</f>
        <v>Epilogue</v>
      </c>
      <c r="M64" s="225" t="str">
        <f>AD37</f>
        <v>--</v>
      </c>
      <c r="N64" s="226" t="s">
        <v>100</v>
      </c>
      <c r="O64" s="227" t="s">
        <v>100</v>
      </c>
      <c r="P64" s="228">
        <v>35</v>
      </c>
      <c r="Q64" s="228">
        <v>27</v>
      </c>
      <c r="R64" s="228">
        <f>Q64*$D$36-P64</f>
        <v>19</v>
      </c>
      <c r="S64" s="229" t="str">
        <f>AD39</f>
        <v>--</v>
      </c>
      <c r="T64" s="230" t="s">
        <v>100</v>
      </c>
      <c r="U64" s="230" t="s">
        <v>100</v>
      </c>
      <c r="V64" s="231" t="str">
        <f>AD40</f>
        <v>--</v>
      </c>
      <c r="W64" s="232" t="s">
        <v>100</v>
      </c>
      <c r="X64" s="233" t="s">
        <v>100</v>
      </c>
      <c r="Y64" s="234" t="str">
        <f>AD41</f>
        <v>--</v>
      </c>
      <c r="Z64" s="234" t="s">
        <v>100</v>
      </c>
      <c r="AA64" s="234" t="s">
        <v>100</v>
      </c>
      <c r="AB64" s="235" t="str">
        <f>AD42</f>
        <v>--</v>
      </c>
      <c r="AC64" s="236" t="s">
        <v>100</v>
      </c>
      <c r="AD64" s="237" t="s">
        <v>100</v>
      </c>
      <c r="AE64" s="34"/>
    </row>
    <row r="65" spans="1:31" x14ac:dyDescent="0.25">
      <c r="A65" s="34"/>
      <c r="B65" s="34"/>
      <c r="C65" s="34"/>
      <c r="D65" s="34"/>
      <c r="E65" s="34"/>
      <c r="F65" s="34"/>
      <c r="G65" s="34"/>
      <c r="H65" s="34"/>
      <c r="I65" s="34"/>
      <c r="J65" s="34"/>
      <c r="K65" s="34"/>
      <c r="L65" s="157" t="s">
        <v>136</v>
      </c>
      <c r="M65" s="158">
        <f>SUM(M51:M63)</f>
        <v>0</v>
      </c>
      <c r="N65" s="158">
        <f>SUM(N51:N63)*$C$36</f>
        <v>240</v>
      </c>
      <c r="O65" s="158" t="s">
        <v>100</v>
      </c>
      <c r="P65" s="158">
        <f>SUM(P51:P63)</f>
        <v>0</v>
      </c>
      <c r="Q65" s="158">
        <f>SUM(Q51:Q63)*$D$36</f>
        <v>0</v>
      </c>
      <c r="R65" s="158" t="s">
        <v>100</v>
      </c>
      <c r="S65" s="158">
        <f>SUM(S51:S63)</f>
        <v>0</v>
      </c>
      <c r="T65" s="158">
        <f>SUM(T51:T63)*$E$36</f>
        <v>0</v>
      </c>
      <c r="U65" s="158" t="s">
        <v>100</v>
      </c>
      <c r="V65" s="158">
        <f>SUM(V51:V63)</f>
        <v>0</v>
      </c>
      <c r="W65" s="158">
        <f>SUM(W51:W63)*$F$36</f>
        <v>0</v>
      </c>
      <c r="X65" s="158" t="s">
        <v>100</v>
      </c>
      <c r="Y65" s="158">
        <f>SUM(Y51:Y63)</f>
        <v>0</v>
      </c>
      <c r="Z65" s="158">
        <f>SUM(Z51:Z63)*$G$36</f>
        <v>0</v>
      </c>
      <c r="AA65" s="158" t="s">
        <v>100</v>
      </c>
      <c r="AB65" s="158">
        <f>SUM(AB51:AB63)</f>
        <v>10</v>
      </c>
      <c r="AC65" s="158">
        <f>SUM(AC51:AC63)*$H$36</f>
        <v>10</v>
      </c>
      <c r="AD65" s="159" t="s">
        <v>100</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sheetData>
  <mergeCells count="22">
    <mergeCell ref="B40:H40"/>
    <mergeCell ref="B2:B4"/>
    <mergeCell ref="C2:K2"/>
    <mergeCell ref="L2:L4"/>
    <mergeCell ref="M2:AD3"/>
    <mergeCell ref="C3:D3"/>
    <mergeCell ref="E3:F3"/>
    <mergeCell ref="B35:B36"/>
    <mergeCell ref="M35:AD35"/>
    <mergeCell ref="B37:H37"/>
    <mergeCell ref="B38:H38"/>
    <mergeCell ref="B39:H39"/>
    <mergeCell ref="B41:H41"/>
    <mergeCell ref="B42:H48"/>
    <mergeCell ref="L44:L46"/>
    <mergeCell ref="M44:AD44"/>
    <mergeCell ref="M45:O45"/>
    <mergeCell ref="P45:R45"/>
    <mergeCell ref="S45:U45"/>
    <mergeCell ref="V45:X45"/>
    <mergeCell ref="Y45:AA45"/>
    <mergeCell ref="AB45:AD45"/>
  </mergeCells>
  <conditionalFormatting sqref="O47:O63 R47:R49 AD47:AD49 U48:U63 AA48:AA49 X51:X63 R64">
    <cfRule type="cellIs" dxfId="22" priority="4" operator="lessThan">
      <formula>0</formula>
    </cfRule>
  </conditionalFormatting>
  <conditionalFormatting sqref="R50:R63">
    <cfRule type="cellIs" dxfId="21" priority="3" operator="lessThan">
      <formula>0</formula>
    </cfRule>
  </conditionalFormatting>
  <conditionalFormatting sqref="M5:AD9 M14:AD33 M10:AC13">
    <cfRule type="containsBlanks" dxfId="20" priority="6">
      <formula>LEN(TRIM(M5))=0</formula>
    </cfRule>
  </conditionalFormatting>
  <conditionalFormatting sqref="AD10:AD13">
    <cfRule type="containsBlanks" dxfId="19" priority="5">
      <formula>LEN(TRIM(AD10))=0</formula>
    </cfRule>
  </conditionalFormatting>
  <conditionalFormatting sqref="AD50:AD63">
    <cfRule type="cellIs" dxfId="18" priority="2" operator="lessThan">
      <formula>0</formula>
    </cfRule>
  </conditionalFormatting>
  <conditionalFormatting sqref="AA50:AA63">
    <cfRule type="cellIs" dxfId="17" priority="1" operator="lessThan">
      <formula>0</formula>
    </cfRule>
  </conditionalFormatting>
  <dataValidations count="44">
    <dataValidation type="list" showDropDown="1" showInputMessage="1" showErrorMessage="1" sqref="M34:AB34" xr:uid="{B8290265-8D45-4CB4-8507-C43B753C366E}">
      <formula1>"Yes"</formula1>
    </dataValidation>
    <dataValidation type="list" allowBlank="1" showErrorMessage="1" sqref="X24" xr:uid="{611E7F0C-A117-4F87-B366-4AF577CFC7D7}">
      <formula1>"0,1,2,3,4,5,6,7,8,9,10,11,12,13,14,15,16,17,18,19,20,21,22"</formula1>
    </dataValidation>
    <dataValidation type="decimal" operator="equal" allowBlank="1" showDropDown="1" showInputMessage="1" showErrorMessage="1" prompt="Big Fookin Chx kill is required." sqref="Z27" xr:uid="{1DD9D379-D1C7-42A1-8BA7-5491E497F989}">
      <formula1>1</formula1>
    </dataValidation>
    <dataValidation type="list" allowBlank="1" showErrorMessage="1" sqref="Z5 X6 P9 O11 AA25 AB32 W54 T59:T60" xr:uid="{8BA5A270-C0A5-48AE-A72E-187256143C35}">
      <formula1>"0,1,2,3,4,5,6"</formula1>
    </dataValidation>
    <dataValidation type="decimal" operator="equal" allowBlank="1" showDropDown="1" showInputMessage="1" showErrorMessage="1" prompt="3 extra come from collecting all secrets." sqref="AC47 AC54" xr:uid="{E94AB572-3B9A-4415-8B83-6C4D93B0D079}">
      <formula1>0</formula1>
    </dataValidation>
    <dataValidation type="list" allowBlank="1" showInputMessage="1" showErrorMessage="1" prompt="One kill is required to collect item to open the door." sqref="AC32" xr:uid="{B7EF87C1-4E87-42D6-9791-BAB4838E00E1}">
      <formula1>"1,2,3,4,5,6"</formula1>
    </dataValidation>
    <dataValidation type="list" allowBlank="1" showErrorMessage="1" sqref="M7 X20 Z26" xr:uid="{8B6BEBE3-0B46-411F-A4FE-04F786F10A4A}">
      <formula1>"0,1,2,3,4,5,6,7,8,9,10,11,12,13"</formula1>
    </dataValidation>
    <dataValidation type="list" allowBlank="1" showInputMessage="1" showErrorMessage="1" prompt="2 extra come from collecting all secrets." sqref="AC59" xr:uid="{FCBE04A0-08C7-42F8-82F9-AE2BEC85FAA6}">
      <formula1>"0,1,2,3,4,5,6"</formula1>
    </dataValidation>
    <dataValidation type="list" allowBlank="1" showInputMessage="1" showErrorMessage="1" prompt="8 extra come from collecting all secrets." sqref="AC62" xr:uid="{B7B3F411-9475-431B-BAEC-95080FF1B239}">
      <formula1>"0,1,2"</formula1>
    </dataValidation>
    <dataValidation type="list" allowBlank="1" showInputMessage="1" showErrorMessage="1" prompt="4 extra come from collecting all secrets." sqref="Z58" xr:uid="{67169009-0C1B-49FA-A6F0-FC8062A27336}">
      <formula1>"0,1,2"</formula1>
    </dataValidation>
    <dataValidation type="list" allowBlank="1" showErrorMessage="1" sqref="Q10 P13 S17 U17 N47 Q47 T55 W55 Q57" xr:uid="{104EE73F-7B07-4155-9755-A6872637D6BB}">
      <formula1>"0,1"</formula1>
    </dataValidation>
    <dataValidation type="list" allowBlank="1" showInputMessage="1" showErrorMessage="1" prompt="One shark is inaccessible but still killable. As of now, no ruling has been decided on whether or not this kill is required for 100%/Max%." sqref="T18" xr:uid="{56457741-9A64-4467-9C2C-1DD000D0FA92}">
      <formula1>"0,1,2,3"</formula1>
    </dataValidation>
    <dataValidation type="list" allowBlank="1" showErrorMessage="1" sqref="W21" xr:uid="{AA6C7A50-617D-49B7-BAEE-651AF4572B70}">
      <formula1>"0,1,2,3,4,5,6,7,8,9,10,11,12,13,14,15"</formula1>
    </dataValidation>
    <dataValidation type="list" allowBlank="1" showErrorMessage="1" sqref="Y23 T63" xr:uid="{2F5DB4CB-5FD5-48BF-8350-8E0DE6904B0C}">
      <formula1>"0,1,2,3,4,5,6,7,8,9,10,11,12,13,14,15,16,17,18"</formula1>
    </dataValidation>
    <dataValidation type="list" allowBlank="1" showInputMessage="1" showErrorMessage="1" prompt="4 extra come from collecting all secrets." sqref="Q49 W53" xr:uid="{8DCB1F61-EA61-47C7-A7EC-646FBF57293D}">
      <formula1>"0,1,2,3"</formula1>
    </dataValidation>
    <dataValidation type="decimal" operator="equal" allowBlank="1" showDropDown="1" showInputMessage="1" showErrorMessage="1" prompt="All HSH enemies must be killed." sqref="AD10:AD11" xr:uid="{827C2FFA-1A26-4D3A-B0B4-7A4ADA9F119D}">
      <formula1>4</formula1>
    </dataValidation>
    <dataValidation type="list" allowBlank="1" showErrorMessage="1" sqref="O9 P10 O12 AB31" xr:uid="{63AEEC00-5FD6-4DB7-9320-985B8133CB8E}">
      <formula1>"0,1,2,3,4,5,6,7,8,9,10,11,12"</formula1>
    </dataValidation>
    <dataValidation type="list" allowBlank="1" showErrorMessage="1" sqref="N11 Q14 R17 V19 W22 W28 AC31 T49 Q51 N50:N52 W51:W52 Z52 N54 Z54 N56 Z56 AC57 N58 N61 Q61" xr:uid="{FED0AF84-394B-4F96-A602-803078112310}">
      <formula1>"0,1,2,3,4"</formula1>
    </dataValidation>
    <dataValidation type="list" allowBlank="1" showErrorMessage="1" sqref="M8 S11 Q17 U19 Z25 T48 Z48 AC49 AC52 Q53:Q54 T54 N55 Q56 W56 W58 AC58 N60 Q58:Q60 AC61 Z61:Z62" xr:uid="{2BEA2ED7-7EA9-49FA-AC04-C55A7BD4A876}">
      <formula1>"0,1,2"</formula1>
    </dataValidation>
    <dataValidation type="decimal" operator="equal" allowBlank="1" showDropDown="1" showInputMessage="1" showErrorMessage="1" prompt="All HSH enemies must be killed." sqref="AD13" xr:uid="{3B6074B8-A6D3-4EC2-B959-EE5373B9C915}">
      <formula1>1</formula1>
    </dataValidation>
    <dataValidation type="list" allowBlank="1" showErrorMessage="1" sqref="M5 N9:N10 R14 V14 Y26 AA29 Q50 N57 T58 N59 Q62" xr:uid="{F11477EC-71B1-4C72-987F-B7AFF88806B5}">
      <formula1>"0,1,2,3,4,5"</formula1>
    </dataValidation>
    <dataValidation type="list" allowBlank="1" showErrorMessage="1" sqref="M6 S14 R16 T17 S18 V17:V18 Y20 Y25 Q48 N49 AC50 Q52 Q55 T56 Z57 N62" xr:uid="{D61BEC39-824B-429F-A5B8-C3B8D637EE0B}">
      <formula1>"0,1,2,3"</formula1>
    </dataValidation>
    <dataValidation type="list" allowBlank="1" showErrorMessage="1" sqref="AA7 P11 X21" xr:uid="{3ADE6215-5B86-47E9-A1C5-1629D39B6DB9}">
      <formula1>"0,1,2,3,4,5,6,7,8,9,10,11"</formula1>
    </dataValidation>
    <dataValidation type="list" allowBlank="1" showErrorMessage="1" sqref="O10 R10 T14:T15 S19:T19 AA28 T62" xr:uid="{C9A3DBF3-6E3E-4D88-80F8-649501C0EA4B}">
      <formula1>"0,1,2,3,4,5,6,7"</formula1>
    </dataValidation>
    <dataValidation type="list" allowBlank="1" showErrorMessage="1" sqref="V11 N12 W23" xr:uid="{507A1768-3F44-4D15-B126-CCF37914864B}">
      <formula1>"0,1,2,3,4,5,6,7,8,9,10"</formula1>
    </dataValidation>
    <dataValidation type="list" allowBlank="1" showInputMessage="1" showErrorMessage="1" prompt="4 extra come from collecting secrets." sqref="T50 T52" xr:uid="{98B8165C-D9A7-4BC4-AD6E-25DCA4C053FA}">
      <formula1>"0,1,2,3,4"</formula1>
    </dataValidation>
    <dataValidation type="decimal" operator="equal" allowBlank="1" showDropDown="1" showInputMessage="1" showErrorMessage="1" prompt="4 extra come from collecting all secrets." sqref="Z55" xr:uid="{472DCD7E-D59F-40A9-B119-5AC3C5C042D0}">
      <formula1>0</formula1>
    </dataValidation>
    <dataValidation type="list" allowBlank="1" showErrorMessage="1" sqref="P12" xr:uid="{C531E324-CA50-414B-855D-AA1AD09147F7}">
      <formula1>"0,1,2,3,4,5,6,7,8,9,10,11,12,13,14,15,16"</formula1>
    </dataValidation>
    <dataValidation type="list" allowBlank="1" showInputMessage="1" showErrorMessage="1" prompt="4 extra come from collecting all secrets." sqref="N48" xr:uid="{CC77E62E-8B58-4FE4-8D45-E8B1CFD9C47B}">
      <formula1>"0,1,2,3,4,5"</formula1>
    </dataValidation>
    <dataValidation type="list" allowBlank="1" showErrorMessage="1" sqref="AA5 AB30" xr:uid="{6FD28049-51AF-450E-9445-05C775DEE76B}">
      <formula1>"0,1,2,3,4,5,6,7,8"</formula1>
    </dataValidation>
    <dataValidation type="list" allowBlank="1" sqref="Y21" xr:uid="{5E0D7B52-93E2-4715-8823-713A8B1F9D0F}">
      <formula1>"0,1,2,3,4"</formula1>
    </dataValidation>
    <dataValidation type="list" allowBlank="1" showInputMessage="1" showErrorMessage="1" prompt="2 extra come from collecting all secrets." sqref="Z59" xr:uid="{F142DFB5-2416-420D-835A-A59B32D22E39}">
      <formula1>"0,1,2,3"</formula1>
    </dataValidation>
    <dataValidation type="decimal" operator="equal" allowBlank="1" showDropDown="1" showInputMessage="1" showErrorMessage="1" prompt="All HSH enemies must be killed." sqref="AD12" xr:uid="{43C4AA3D-296D-425A-BFCD-9B9D3D593438}">
      <formula1>7</formula1>
    </dataValidation>
    <dataValidation type="list" allowBlank="1" showInputMessage="1" showErrorMessage="1" prompt="4 extra come from collecting all secrets." sqref="AC56 AC60" xr:uid="{E1035419-2D18-4C47-9A87-0A2BC849C9A5}">
      <formula1>"0,1,2,3,4"</formula1>
    </dataValidation>
    <dataValidation type="list" allowBlank="1" sqref="V16" xr:uid="{0ECDCA4D-972B-4CAE-AD7A-D6287684A6A8}">
      <formula1>"0,1,2,3,4,5"</formula1>
    </dataValidation>
    <dataValidation type="list" allowBlank="1" showErrorMessage="1" sqref="R15" xr:uid="{515E88AA-C5F0-4AAE-A16C-E8E47FD90C2B}">
      <formula1>"0,1,2,3,4,5,6,"</formula1>
    </dataValidation>
    <dataValidation type="list" allowBlank="1" showInputMessage="1" showErrorMessage="1" prompt="8 extra come from collecting all secrets." sqref="T61" xr:uid="{50643196-99E6-46B9-903F-238E7237FC6C}">
      <formula1>"0,1,2,3,4"</formula1>
    </dataValidation>
    <dataValidation type="list" allowBlank="1" showInputMessage="1" showErrorMessage="1" prompt="One is required to obtain a necessary key." sqref="Q11" xr:uid="{98595738-B506-43B0-ADCD-43F97FD6775D}">
      <formula1>"0,1,2,3,4,5,6,7,8,9,10"</formula1>
    </dataValidation>
    <dataValidation type="list" allowBlank="1" showInputMessage="1" showErrorMessage="1" prompt="One is required to obtain a necessary key" sqref="Q15" xr:uid="{6F7287B9-A52E-4BDD-BE09-0558003BC7D1}">
      <formula1>"1,2,3"</formula1>
    </dataValidation>
    <dataValidation type="list" allowBlank="1" showInputMessage="1" showErrorMessage="1" prompt="4 extra come from collecting secrets." sqref="T57" xr:uid="{E8CD65CD-B987-4E93-899C-9CC8FBACC3DB}">
      <formula1>"0,1,2,3"</formula1>
    </dataValidation>
    <dataValidation type="list" allowBlank="1" showErrorMessage="1" sqref="R11 T11:U11 U14" xr:uid="{D12802E0-8C43-480A-807F-C1E2981A6739}">
      <formula1>"0,1,2,3,4,5,6,7,8,9"</formula1>
    </dataValidation>
    <dataValidation type="decimal" operator="equal" allowBlank="1" showDropDown="1" showInputMessage="1" showErrorMessage="1" prompt="Dragon kill is required." sqref="AC33" xr:uid="{597A435C-3486-4EFE-BBDF-E0DE9FF54473}">
      <formula1>1</formula1>
    </dataValidation>
    <dataValidation type="list" allowBlank="1" showInputMessage="1" showErrorMessage="1" prompt="3 extra come from collecting all secrets." sqref="T51" xr:uid="{2D2A81BD-FBA5-4280-8D0E-07697D44B57E}">
      <formula1>"0,1"</formula1>
    </dataValidation>
    <dataValidation type="list" allowBlank="1" showInputMessage="1" showErrorMessage="1" sqref="J36 J39" xr:uid="{DB4AFA28-4007-417C-A6E8-FB4405207301}">
      <formula1>"Yes,No"</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08">
    <outlinePr summaryBelow="0" summaryRight="0"/>
  </sheetPr>
  <dimension ref="A1:AE66"/>
  <sheetViews>
    <sheetView showGridLines="0" zoomScale="85" zoomScaleNormal="85" workbookViewId="0"/>
  </sheetViews>
  <sheetFormatPr defaultColWidth="0" defaultRowHeight="15.75" customHeight="1" zeroHeight="1" x14ac:dyDescent="0.25"/>
  <cols>
    <col min="1" max="1" width="2" style="2" customWidth="1"/>
    <col min="2" max="2" width="18" style="2" customWidth="1"/>
    <col min="3" max="4" width="9.42578125" style="2" customWidth="1"/>
    <col min="5" max="5" width="9.7109375" style="2" customWidth="1"/>
    <col min="6" max="6" width="10.140625" style="2" customWidth="1"/>
    <col min="7" max="7" width="10.5703125" style="2" customWidth="1"/>
    <col min="8" max="8" width="10.7109375" style="2" customWidth="1"/>
    <col min="9" max="9" width="13.85546875" style="2" bestFit="1" customWidth="1"/>
    <col min="10" max="10" width="9.5703125" style="2" customWidth="1"/>
    <col min="11" max="11" width="18.140625" style="2" customWidth="1"/>
    <col min="12" max="12" width="17.85546875" style="2" customWidth="1"/>
    <col min="13" max="13" width="10.7109375" style="2" customWidth="1"/>
    <col min="14" max="14" width="7.42578125" style="2" customWidth="1"/>
    <col min="15" max="15" width="10.85546875" style="2" customWidth="1"/>
    <col min="16" max="16" width="8.7109375" style="2" customWidth="1"/>
    <col min="17" max="17" width="9" style="2" customWidth="1"/>
    <col min="18" max="18" width="10.85546875" style="2" customWidth="1"/>
    <col min="19" max="19" width="9.140625" style="2" customWidth="1"/>
    <col min="20" max="20" width="11.7109375" style="2" customWidth="1"/>
    <col min="21" max="21" width="10.85546875" style="2" customWidth="1"/>
    <col min="22" max="22" width="10" style="2" customWidth="1"/>
    <col min="23" max="23" width="8.7109375" style="2" customWidth="1"/>
    <col min="24" max="24" width="10.85546875" style="2" customWidth="1"/>
    <col min="25" max="25" width="11.42578125" style="2" customWidth="1"/>
    <col min="26" max="26" width="10.7109375" style="2" customWidth="1"/>
    <col min="27" max="27" width="10.85546875" style="2" customWidth="1"/>
    <col min="28" max="28" width="9.28515625" style="2" customWidth="1"/>
    <col min="29" max="29" width="7.85546875" style="2" customWidth="1"/>
    <col min="30" max="30" width="10.85546875" style="2" customWidth="1"/>
    <col min="31" max="31" width="2" style="2" customWidth="1"/>
    <col min="32" max="16384" width="14.42578125" style="2"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5" t="s">
        <v>2</v>
      </c>
      <c r="C2" s="354" t="s">
        <v>5</v>
      </c>
      <c r="D2" s="316"/>
      <c r="E2" s="316"/>
      <c r="F2" s="316"/>
      <c r="G2" s="316"/>
      <c r="H2" s="316"/>
      <c r="I2" s="316"/>
      <c r="J2" s="316"/>
      <c r="K2" s="316"/>
      <c r="L2" s="355" t="s">
        <v>2</v>
      </c>
      <c r="M2" s="338" t="s">
        <v>7</v>
      </c>
      <c r="N2" s="316"/>
      <c r="O2" s="316"/>
      <c r="P2" s="316"/>
      <c r="Q2" s="316"/>
      <c r="R2" s="316"/>
      <c r="S2" s="316"/>
      <c r="T2" s="316"/>
      <c r="U2" s="316"/>
      <c r="V2" s="316"/>
      <c r="W2" s="316"/>
      <c r="X2" s="316"/>
      <c r="Y2" s="316"/>
      <c r="Z2" s="316"/>
      <c r="AA2" s="316"/>
      <c r="AB2" s="316"/>
      <c r="AC2" s="316"/>
      <c r="AD2" s="317"/>
      <c r="AE2" s="34"/>
    </row>
    <row r="3" spans="1:31" x14ac:dyDescent="0.25">
      <c r="A3" s="33"/>
      <c r="B3" s="356"/>
      <c r="C3" s="363" t="s">
        <v>13</v>
      </c>
      <c r="D3" s="316"/>
      <c r="E3" s="364" t="s">
        <v>15</v>
      </c>
      <c r="F3" s="317"/>
      <c r="G3" s="35" t="s">
        <v>16</v>
      </c>
      <c r="H3" s="36" t="s">
        <v>155</v>
      </c>
      <c r="I3" s="137" t="s">
        <v>156</v>
      </c>
      <c r="J3" s="37" t="s">
        <v>20</v>
      </c>
      <c r="K3" s="125" t="s">
        <v>22</v>
      </c>
      <c r="L3" s="356"/>
      <c r="M3" s="361"/>
      <c r="N3" s="312"/>
      <c r="O3" s="312"/>
      <c r="P3" s="312"/>
      <c r="Q3" s="312"/>
      <c r="R3" s="312"/>
      <c r="S3" s="312"/>
      <c r="T3" s="312"/>
      <c r="U3" s="312"/>
      <c r="V3" s="312"/>
      <c r="W3" s="312"/>
      <c r="X3" s="312"/>
      <c r="Y3" s="312"/>
      <c r="Z3" s="312"/>
      <c r="AA3" s="312"/>
      <c r="AB3" s="312"/>
      <c r="AC3" s="312"/>
      <c r="AD3" s="310"/>
      <c r="AE3" s="34"/>
    </row>
    <row r="4" spans="1:31" x14ac:dyDescent="0.25">
      <c r="A4" s="33"/>
      <c r="B4" s="357"/>
      <c r="C4" s="111" t="s">
        <v>26</v>
      </c>
      <c r="D4" s="112" t="s">
        <v>27</v>
      </c>
      <c r="E4" s="145" t="s">
        <v>26</v>
      </c>
      <c r="F4" s="38" t="s">
        <v>27</v>
      </c>
      <c r="G4" s="116" t="s">
        <v>30</v>
      </c>
      <c r="H4" s="121" t="s">
        <v>26</v>
      </c>
      <c r="I4" s="39" t="s">
        <v>35</v>
      </c>
      <c r="J4" s="123" t="s">
        <v>26</v>
      </c>
      <c r="K4" s="40" t="s">
        <v>38</v>
      </c>
      <c r="L4" s="357"/>
      <c r="M4" s="41" t="s">
        <v>39</v>
      </c>
      <c r="N4" s="42" t="s">
        <v>40</v>
      </c>
      <c r="O4" s="42" t="s">
        <v>41</v>
      </c>
      <c r="P4" s="42" t="s">
        <v>157</v>
      </c>
      <c r="Q4" s="43" t="s">
        <v>42</v>
      </c>
      <c r="R4" s="43" t="s">
        <v>43</v>
      </c>
      <c r="S4" s="43" t="s">
        <v>44</v>
      </c>
      <c r="T4" s="43" t="s">
        <v>45</v>
      </c>
      <c r="U4" s="43" t="s">
        <v>46</v>
      </c>
      <c r="V4" s="43" t="s">
        <v>47</v>
      </c>
      <c r="W4" s="43" t="s">
        <v>48</v>
      </c>
      <c r="X4" s="43" t="s">
        <v>49</v>
      </c>
      <c r="Y4" s="43" t="s">
        <v>50</v>
      </c>
      <c r="Z4" s="43" t="s">
        <v>51</v>
      </c>
      <c r="AA4" s="43" t="s">
        <v>52</v>
      </c>
      <c r="AB4" s="43" t="s">
        <v>53</v>
      </c>
      <c r="AC4" s="43" t="s">
        <v>54</v>
      </c>
      <c r="AD4" s="44" t="s">
        <v>55</v>
      </c>
      <c r="AE4" s="34"/>
    </row>
    <row r="5" spans="1:31" x14ac:dyDescent="0.25">
      <c r="A5" s="34"/>
      <c r="B5" s="45" t="s">
        <v>56</v>
      </c>
      <c r="C5" s="34">
        <f>20/(IF($J$36="Yes",1,0)+1)*(IF($J$39="Yes",1,0)+1)</f>
        <v>20</v>
      </c>
      <c r="D5" s="34">
        <f>ROUNDUP(C5/2,0)</f>
        <v>10</v>
      </c>
      <c r="E5" s="25">
        <f>ROUNDUP(C5/2,0)</f>
        <v>10</v>
      </c>
      <c r="F5" s="46">
        <f t="shared" ref="F5:F33" si="0">ROUNDUP(E5/2,0)</f>
        <v>5</v>
      </c>
      <c r="G5" s="26">
        <f>ROUNDUP(C5/18,0)</f>
        <v>2</v>
      </c>
      <c r="H5" s="27">
        <f>ROUNDUP(C5,0)</f>
        <v>20</v>
      </c>
      <c r="I5" s="138">
        <f>ROUNDUP(C5/4,0)</f>
        <v>5</v>
      </c>
      <c r="J5" s="28">
        <f>ROUNDUP(H5/3,0)</f>
        <v>7</v>
      </c>
      <c r="K5" s="126">
        <f>ROUNDUP(C5/30,0)</f>
        <v>1</v>
      </c>
      <c r="L5" s="45" t="str">
        <f t="shared" ref="L5:L33" si="1">B5</f>
        <v>Tiger</v>
      </c>
      <c r="M5" s="98">
        <v>5</v>
      </c>
      <c r="N5" s="34"/>
      <c r="O5" s="34"/>
      <c r="P5" s="34"/>
      <c r="Q5" s="34"/>
      <c r="R5" s="34"/>
      <c r="S5" s="34"/>
      <c r="T5" s="34"/>
      <c r="U5" s="34"/>
      <c r="V5" s="34"/>
      <c r="W5" s="34"/>
      <c r="X5" s="34"/>
      <c r="Y5" s="34"/>
      <c r="Z5" s="99">
        <v>6</v>
      </c>
      <c r="AA5" s="99">
        <v>8</v>
      </c>
      <c r="AB5" s="34"/>
      <c r="AC5" s="34"/>
      <c r="AD5" s="101"/>
      <c r="AE5" s="34"/>
    </row>
    <row r="6" spans="1:31" x14ac:dyDescent="0.25">
      <c r="A6" s="34"/>
      <c r="B6" s="129" t="s">
        <v>58</v>
      </c>
      <c r="C6" s="113">
        <f>15/(IF($J$36="Yes",1,0)+1)*(IF($J$39="Yes",1,0)+1)</f>
        <v>15</v>
      </c>
      <c r="D6" s="113">
        <f t="shared" ref="D6:D33" si="2">ROUNDUP(C6/2,0)</f>
        <v>8</v>
      </c>
      <c r="E6" s="29">
        <f t="shared" ref="E6:E33" si="3">ROUNDUP(C6/2,0)</f>
        <v>8</v>
      </c>
      <c r="F6" s="48">
        <f t="shared" si="0"/>
        <v>4</v>
      </c>
      <c r="G6" s="117">
        <f t="shared" ref="G6:G33" si="4">ROUNDUP(C6/18,0)</f>
        <v>1</v>
      </c>
      <c r="H6" s="120">
        <f t="shared" ref="H6:H33" si="5">ROUNDUP(C6,0)</f>
        <v>15</v>
      </c>
      <c r="I6" s="30">
        <f t="shared" ref="I6:I33" si="6">ROUNDUP(C6/4,0)</f>
        <v>4</v>
      </c>
      <c r="J6" s="124">
        <f t="shared" ref="J6:J33" si="7">ROUNDUP(H6/3,0)</f>
        <v>5</v>
      </c>
      <c r="K6" s="49">
        <f t="shared" ref="K6:K33" si="8">ROUNDUP(C6/30,0)</f>
        <v>1</v>
      </c>
      <c r="L6" s="129" t="str">
        <f t="shared" si="1"/>
        <v>Crow</v>
      </c>
      <c r="M6" s="199">
        <v>3</v>
      </c>
      <c r="N6" s="34"/>
      <c r="O6" s="34"/>
      <c r="P6" s="34"/>
      <c r="Q6" s="34"/>
      <c r="R6" s="34"/>
      <c r="S6" s="34"/>
      <c r="T6" s="34"/>
      <c r="U6" s="34"/>
      <c r="V6" s="34"/>
      <c r="W6" s="34"/>
      <c r="X6" s="200">
        <v>6</v>
      </c>
      <c r="Y6" s="34"/>
      <c r="Z6" s="34"/>
      <c r="AA6" s="34"/>
      <c r="AB6" s="34"/>
      <c r="AC6" s="34"/>
      <c r="AD6" s="101"/>
      <c r="AE6" s="34"/>
    </row>
    <row r="7" spans="1:31" x14ac:dyDescent="0.25">
      <c r="A7" s="34"/>
      <c r="B7" s="50" t="s">
        <v>60</v>
      </c>
      <c r="C7" s="34">
        <f>5/(IF($J$36="Yes",1,0)+1)*(IF($J$39="Yes",1,0)+1)</f>
        <v>5</v>
      </c>
      <c r="D7" s="34">
        <f t="shared" si="2"/>
        <v>3</v>
      </c>
      <c r="E7" s="25">
        <f t="shared" si="3"/>
        <v>3</v>
      </c>
      <c r="F7" s="46">
        <f t="shared" si="0"/>
        <v>2</v>
      </c>
      <c r="G7" s="26">
        <f t="shared" si="4"/>
        <v>1</v>
      </c>
      <c r="H7" s="27">
        <f t="shared" si="5"/>
        <v>5</v>
      </c>
      <c r="I7" s="138">
        <f t="shared" si="6"/>
        <v>2</v>
      </c>
      <c r="J7" s="28">
        <f t="shared" si="7"/>
        <v>2</v>
      </c>
      <c r="K7" s="126">
        <f t="shared" si="8"/>
        <v>1</v>
      </c>
      <c r="L7" s="50" t="str">
        <f t="shared" si="1"/>
        <v>Spider</v>
      </c>
      <c r="M7" s="98">
        <v>13</v>
      </c>
      <c r="N7" s="34"/>
      <c r="O7" s="34"/>
      <c r="P7" s="34"/>
      <c r="Q7" s="34"/>
      <c r="R7" s="34"/>
      <c r="S7" s="34"/>
      <c r="T7" s="34"/>
      <c r="U7" s="34"/>
      <c r="V7" s="34"/>
      <c r="W7" s="34"/>
      <c r="X7" s="34"/>
      <c r="Y7" s="34"/>
      <c r="Z7" s="34"/>
      <c r="AA7" s="99">
        <v>11</v>
      </c>
      <c r="AB7" s="34"/>
      <c r="AC7" s="34"/>
      <c r="AD7" s="101"/>
      <c r="AE7" s="34"/>
    </row>
    <row r="8" spans="1:31" x14ac:dyDescent="0.25">
      <c r="A8" s="34"/>
      <c r="B8" s="129" t="s">
        <v>62</v>
      </c>
      <c r="C8" s="113">
        <f>100/(IF($J$36="Yes",1,0)+1)*(IF($J$39="Yes",1,0)+1)</f>
        <v>100</v>
      </c>
      <c r="D8" s="113">
        <f t="shared" si="2"/>
        <v>50</v>
      </c>
      <c r="E8" s="29">
        <f t="shared" si="3"/>
        <v>50</v>
      </c>
      <c r="F8" s="48">
        <f t="shared" si="0"/>
        <v>25</v>
      </c>
      <c r="G8" s="117">
        <f t="shared" si="4"/>
        <v>6</v>
      </c>
      <c r="H8" s="120">
        <f t="shared" si="5"/>
        <v>100</v>
      </c>
      <c r="I8" s="30">
        <f t="shared" si="6"/>
        <v>25</v>
      </c>
      <c r="J8" s="124">
        <f t="shared" si="7"/>
        <v>34</v>
      </c>
      <c r="K8" s="49">
        <f t="shared" si="8"/>
        <v>4</v>
      </c>
      <c r="L8" s="129" t="str">
        <f t="shared" si="1"/>
        <v>T-Rex</v>
      </c>
      <c r="M8" s="199">
        <v>2</v>
      </c>
      <c r="N8" s="34"/>
      <c r="O8" s="34"/>
      <c r="P8" s="34"/>
      <c r="Q8" s="34"/>
      <c r="R8" s="34"/>
      <c r="S8" s="34"/>
      <c r="T8" s="34"/>
      <c r="U8" s="34"/>
      <c r="V8" s="34"/>
      <c r="W8" s="34"/>
      <c r="X8" s="34"/>
      <c r="Y8" s="34"/>
      <c r="Z8" s="34"/>
      <c r="AA8" s="34"/>
      <c r="AB8" s="34"/>
      <c r="AC8" s="34"/>
      <c r="AD8" s="101"/>
      <c r="AE8" s="34"/>
    </row>
    <row r="9" spans="1:31" x14ac:dyDescent="0.25">
      <c r="A9" s="34"/>
      <c r="B9" s="50" t="s">
        <v>64</v>
      </c>
      <c r="C9" s="34">
        <f>4/(IF($J$36="Yes",1,0)+1)*(IF($J$39="Yes",1,0)+1)</f>
        <v>4</v>
      </c>
      <c r="D9" s="34">
        <f t="shared" si="2"/>
        <v>2</v>
      </c>
      <c r="E9" s="25">
        <f t="shared" si="3"/>
        <v>2</v>
      </c>
      <c r="F9" s="46">
        <f t="shared" si="0"/>
        <v>1</v>
      </c>
      <c r="G9" s="26">
        <f t="shared" si="4"/>
        <v>1</v>
      </c>
      <c r="H9" s="27">
        <f t="shared" si="5"/>
        <v>4</v>
      </c>
      <c r="I9" s="138">
        <f t="shared" si="6"/>
        <v>1</v>
      </c>
      <c r="J9" s="28">
        <f t="shared" si="7"/>
        <v>2</v>
      </c>
      <c r="K9" s="126">
        <f t="shared" si="8"/>
        <v>1</v>
      </c>
      <c r="L9" s="50" t="str">
        <f t="shared" si="1"/>
        <v>Rat</v>
      </c>
      <c r="M9" s="47"/>
      <c r="N9" s="99">
        <v>5</v>
      </c>
      <c r="O9" s="99">
        <v>12</v>
      </c>
      <c r="P9" s="99">
        <v>6</v>
      </c>
      <c r="Q9" s="99"/>
      <c r="R9" s="99"/>
      <c r="S9" s="99"/>
      <c r="T9" s="99"/>
      <c r="U9" s="99"/>
      <c r="V9" s="99"/>
      <c r="W9" s="99"/>
      <c r="X9" s="99"/>
      <c r="Y9" s="99"/>
      <c r="Z9" s="99"/>
      <c r="AA9" s="99"/>
      <c r="AB9" s="99"/>
      <c r="AC9" s="99"/>
      <c r="AD9" s="101"/>
      <c r="AE9" s="34"/>
    </row>
    <row r="10" spans="1:31" x14ac:dyDescent="0.25">
      <c r="A10" s="34"/>
      <c r="B10" s="129" t="s">
        <v>65</v>
      </c>
      <c r="C10" s="113">
        <f>10/(IF($J$36="Yes",1,0)+1)*(IF($J$39="Yes",1,0)+1)</f>
        <v>10</v>
      </c>
      <c r="D10" s="113">
        <f t="shared" si="2"/>
        <v>5</v>
      </c>
      <c r="E10" s="29">
        <f t="shared" si="3"/>
        <v>5</v>
      </c>
      <c r="F10" s="48">
        <f t="shared" si="0"/>
        <v>3</v>
      </c>
      <c r="G10" s="117">
        <f t="shared" si="4"/>
        <v>1</v>
      </c>
      <c r="H10" s="120">
        <f t="shared" si="5"/>
        <v>10</v>
      </c>
      <c r="I10" s="30">
        <f t="shared" si="6"/>
        <v>3</v>
      </c>
      <c r="J10" s="124">
        <f t="shared" si="7"/>
        <v>4</v>
      </c>
      <c r="K10" s="49">
        <f t="shared" si="8"/>
        <v>1</v>
      </c>
      <c r="L10" s="129" t="str">
        <f t="shared" si="1"/>
        <v>Dog</v>
      </c>
      <c r="M10" s="47"/>
      <c r="N10" s="200">
        <v>5</v>
      </c>
      <c r="O10" s="200">
        <v>7</v>
      </c>
      <c r="P10" s="200">
        <v>12</v>
      </c>
      <c r="Q10" s="200">
        <v>1</v>
      </c>
      <c r="R10" s="200">
        <v>7</v>
      </c>
      <c r="S10" s="100"/>
      <c r="T10" s="100"/>
      <c r="U10" s="100"/>
      <c r="V10" s="100"/>
      <c r="W10" s="100"/>
      <c r="X10" s="100"/>
      <c r="Y10" s="100"/>
      <c r="Z10" s="100"/>
      <c r="AA10" s="100"/>
      <c r="AB10" s="100"/>
      <c r="AC10" s="100"/>
      <c r="AD10" s="201">
        <v>4</v>
      </c>
      <c r="AE10" s="34"/>
    </row>
    <row r="11" spans="1:31" x14ac:dyDescent="0.25">
      <c r="A11" s="34"/>
      <c r="B11" s="50" t="s">
        <v>67</v>
      </c>
      <c r="C11" s="34">
        <f>27/(IF($J$36="Yes",1,0)+1)*(IF($J$39="Yes",1,0)+1)</f>
        <v>27</v>
      </c>
      <c r="D11" s="34">
        <f t="shared" si="2"/>
        <v>14</v>
      </c>
      <c r="E11" s="25">
        <f t="shared" si="3"/>
        <v>14</v>
      </c>
      <c r="F11" s="46">
        <f t="shared" si="0"/>
        <v>7</v>
      </c>
      <c r="G11" s="26">
        <f t="shared" si="4"/>
        <v>2</v>
      </c>
      <c r="H11" s="27">
        <f t="shared" si="5"/>
        <v>27</v>
      </c>
      <c r="I11" s="138">
        <f t="shared" si="6"/>
        <v>7</v>
      </c>
      <c r="J11" s="28">
        <f t="shared" si="7"/>
        <v>9</v>
      </c>
      <c r="K11" s="126">
        <f t="shared" si="8"/>
        <v>1</v>
      </c>
      <c r="L11" s="50" t="str">
        <f t="shared" si="1"/>
        <v>Melee Thug</v>
      </c>
      <c r="M11" s="47"/>
      <c r="N11" s="99">
        <v>4</v>
      </c>
      <c r="O11" s="99">
        <v>6</v>
      </c>
      <c r="P11" s="99">
        <v>11</v>
      </c>
      <c r="Q11" s="99">
        <v>10</v>
      </c>
      <c r="R11" s="99">
        <v>9</v>
      </c>
      <c r="S11" s="99">
        <v>2</v>
      </c>
      <c r="T11" s="99">
        <v>9</v>
      </c>
      <c r="U11" s="99">
        <v>9</v>
      </c>
      <c r="V11" s="99">
        <v>10</v>
      </c>
      <c r="W11" s="99"/>
      <c r="X11" s="99"/>
      <c r="Y11" s="99"/>
      <c r="Z11" s="99"/>
      <c r="AA11" s="99"/>
      <c r="AB11" s="99"/>
      <c r="AC11" s="99"/>
      <c r="AD11" s="205">
        <v>4</v>
      </c>
      <c r="AE11" s="34"/>
    </row>
    <row r="12" spans="1:31" x14ac:dyDescent="0.25">
      <c r="A12" s="34"/>
      <c r="B12" s="129" t="s">
        <v>68</v>
      </c>
      <c r="C12" s="113">
        <f>25/(IF($J$36="Yes",1,0)+1)*(IF($J$39="Yes",1,0)+1)</f>
        <v>25</v>
      </c>
      <c r="D12" s="113">
        <f t="shared" si="2"/>
        <v>13</v>
      </c>
      <c r="E12" s="29">
        <f t="shared" si="3"/>
        <v>13</v>
      </c>
      <c r="F12" s="48">
        <f t="shared" si="0"/>
        <v>7</v>
      </c>
      <c r="G12" s="117">
        <f t="shared" si="4"/>
        <v>2</v>
      </c>
      <c r="H12" s="120">
        <f t="shared" si="5"/>
        <v>25</v>
      </c>
      <c r="I12" s="30">
        <f t="shared" si="6"/>
        <v>7</v>
      </c>
      <c r="J12" s="124">
        <f t="shared" si="7"/>
        <v>9</v>
      </c>
      <c r="K12" s="49">
        <f t="shared" si="8"/>
        <v>1</v>
      </c>
      <c r="L12" s="129" t="str">
        <f t="shared" si="1"/>
        <v>Pistol Thug</v>
      </c>
      <c r="M12" s="47"/>
      <c r="N12" s="200">
        <v>10</v>
      </c>
      <c r="O12" s="200">
        <v>12</v>
      </c>
      <c r="P12" s="200">
        <v>16</v>
      </c>
      <c r="Q12" s="100"/>
      <c r="R12" s="100"/>
      <c r="S12" s="100"/>
      <c r="T12" s="100"/>
      <c r="U12" s="100"/>
      <c r="V12" s="100"/>
      <c r="W12" s="100"/>
      <c r="X12" s="100"/>
      <c r="Y12" s="100"/>
      <c r="Z12" s="100"/>
      <c r="AA12" s="100"/>
      <c r="AB12" s="100"/>
      <c r="AC12" s="100"/>
      <c r="AD12" s="201">
        <v>7</v>
      </c>
      <c r="AE12" s="34"/>
    </row>
    <row r="13" spans="1:31" x14ac:dyDescent="0.25">
      <c r="A13" s="34"/>
      <c r="B13" s="50" t="s">
        <v>69</v>
      </c>
      <c r="C13" s="34">
        <f>150/(IF($J$36="Yes",1,0)+1)*(IF($J$39="Yes",1,0)+1)</f>
        <v>150</v>
      </c>
      <c r="D13" s="34">
        <f t="shared" si="2"/>
        <v>75</v>
      </c>
      <c r="E13" s="25">
        <f t="shared" si="3"/>
        <v>75</v>
      </c>
      <c r="F13" s="46">
        <f t="shared" si="0"/>
        <v>38</v>
      </c>
      <c r="G13" s="26">
        <f t="shared" si="4"/>
        <v>9</v>
      </c>
      <c r="H13" s="27">
        <f t="shared" si="5"/>
        <v>150</v>
      </c>
      <c r="I13" s="138">
        <f t="shared" si="6"/>
        <v>38</v>
      </c>
      <c r="J13" s="28">
        <f t="shared" si="7"/>
        <v>50</v>
      </c>
      <c r="K13" s="126">
        <f t="shared" si="8"/>
        <v>5</v>
      </c>
      <c r="L13" s="50" t="str">
        <f t="shared" si="1"/>
        <v>Colt</v>
      </c>
      <c r="M13" s="47"/>
      <c r="N13" s="34"/>
      <c r="O13" s="99"/>
      <c r="P13" s="99">
        <v>1</v>
      </c>
      <c r="Q13" s="99"/>
      <c r="R13" s="99"/>
      <c r="S13" s="99"/>
      <c r="T13" s="99"/>
      <c r="U13" s="99"/>
      <c r="V13" s="99"/>
      <c r="W13" s="99"/>
      <c r="X13" s="99"/>
      <c r="Y13" s="99"/>
      <c r="Z13" s="99"/>
      <c r="AA13" s="99"/>
      <c r="AB13" s="99"/>
      <c r="AC13" s="99"/>
      <c r="AD13" s="205">
        <v>1</v>
      </c>
      <c r="AE13" s="34"/>
    </row>
    <row r="14" spans="1:31" x14ac:dyDescent="0.25">
      <c r="A14" s="34"/>
      <c r="B14" s="129" t="s">
        <v>71</v>
      </c>
      <c r="C14" s="113">
        <f>25/(IF($J$36="Yes",1,0)+1)*(IF($J$39="Yes",1,0)+1)</f>
        <v>25</v>
      </c>
      <c r="D14" s="113">
        <f t="shared" si="2"/>
        <v>13</v>
      </c>
      <c r="E14" s="29">
        <f t="shared" si="3"/>
        <v>13</v>
      </c>
      <c r="F14" s="48">
        <f t="shared" si="0"/>
        <v>7</v>
      </c>
      <c r="G14" s="117">
        <f t="shared" si="4"/>
        <v>2</v>
      </c>
      <c r="H14" s="120">
        <f t="shared" si="5"/>
        <v>25</v>
      </c>
      <c r="I14" s="30">
        <f t="shared" si="6"/>
        <v>7</v>
      </c>
      <c r="J14" s="124">
        <f t="shared" si="7"/>
        <v>9</v>
      </c>
      <c r="K14" s="49">
        <f t="shared" si="8"/>
        <v>1</v>
      </c>
      <c r="L14" s="129" t="str">
        <f t="shared" si="1"/>
        <v>Shotgun Thug</v>
      </c>
      <c r="M14" s="47"/>
      <c r="N14" s="34"/>
      <c r="O14" s="100"/>
      <c r="P14" s="100"/>
      <c r="Q14" s="200">
        <v>4</v>
      </c>
      <c r="R14" s="200">
        <v>5</v>
      </c>
      <c r="S14" s="200">
        <v>3</v>
      </c>
      <c r="T14" s="200">
        <v>7</v>
      </c>
      <c r="U14" s="200">
        <v>9</v>
      </c>
      <c r="V14" s="200">
        <v>5</v>
      </c>
      <c r="W14" s="100"/>
      <c r="X14" s="100"/>
      <c r="Y14" s="100"/>
      <c r="Z14" s="100"/>
      <c r="AA14" s="100"/>
      <c r="AB14" s="100"/>
      <c r="AC14" s="100"/>
      <c r="AD14" s="101"/>
      <c r="AE14" s="34"/>
    </row>
    <row r="15" spans="1:31" x14ac:dyDescent="0.25">
      <c r="A15" s="34"/>
      <c r="B15" s="50" t="s">
        <v>72</v>
      </c>
      <c r="C15" s="34">
        <f>20/(IF($J$36="Yes",1,0)+1)*(IF($J$39="Yes",1,0)+1)</f>
        <v>20</v>
      </c>
      <c r="D15" s="34">
        <f t="shared" si="2"/>
        <v>10</v>
      </c>
      <c r="E15" s="25">
        <f t="shared" si="3"/>
        <v>10</v>
      </c>
      <c r="F15" s="46">
        <f t="shared" si="0"/>
        <v>5</v>
      </c>
      <c r="G15" s="26">
        <f t="shared" si="4"/>
        <v>2</v>
      </c>
      <c r="H15" s="27">
        <f t="shared" si="5"/>
        <v>20</v>
      </c>
      <c r="I15" s="138">
        <f t="shared" si="6"/>
        <v>5</v>
      </c>
      <c r="J15" s="28">
        <f t="shared" si="7"/>
        <v>7</v>
      </c>
      <c r="K15" s="126">
        <f t="shared" si="8"/>
        <v>1</v>
      </c>
      <c r="L15" s="50" t="str">
        <f t="shared" si="1"/>
        <v>Auto Rifle Thug</v>
      </c>
      <c r="M15" s="47"/>
      <c r="N15" s="34"/>
      <c r="O15" s="99"/>
      <c r="P15" s="99"/>
      <c r="Q15" s="99">
        <v>3</v>
      </c>
      <c r="R15" s="99">
        <v>6</v>
      </c>
      <c r="S15" s="99"/>
      <c r="T15" s="99">
        <v>7</v>
      </c>
      <c r="U15" s="99"/>
      <c r="V15" s="99"/>
      <c r="W15" s="99"/>
      <c r="X15" s="99"/>
      <c r="Y15" s="99"/>
      <c r="Z15" s="99"/>
      <c r="AA15" s="99"/>
      <c r="AB15" s="99"/>
      <c r="AC15" s="99"/>
      <c r="AD15" s="101"/>
      <c r="AE15" s="34"/>
    </row>
    <row r="16" spans="1:31" x14ac:dyDescent="0.25">
      <c r="A16" s="34"/>
      <c r="B16" s="129" t="s">
        <v>73</v>
      </c>
      <c r="C16" s="113">
        <f>20/(IF($J$36="Yes",1,0)+1)*(IF($J$39="Yes",1,0)+1)</f>
        <v>20</v>
      </c>
      <c r="D16" s="113">
        <f t="shared" si="2"/>
        <v>10</v>
      </c>
      <c r="E16" s="29">
        <f t="shared" si="3"/>
        <v>10</v>
      </c>
      <c r="F16" s="48">
        <f t="shared" si="0"/>
        <v>5</v>
      </c>
      <c r="G16" s="117">
        <f t="shared" si="4"/>
        <v>2</v>
      </c>
      <c r="H16" s="120">
        <f t="shared" si="5"/>
        <v>20</v>
      </c>
      <c r="I16" s="30">
        <f t="shared" si="6"/>
        <v>5</v>
      </c>
      <c r="J16" s="124">
        <f t="shared" si="7"/>
        <v>7</v>
      </c>
      <c r="K16" s="49">
        <f t="shared" si="8"/>
        <v>1</v>
      </c>
      <c r="L16" s="129" t="str">
        <f t="shared" si="1"/>
        <v>Flamethrower</v>
      </c>
      <c r="M16" s="47"/>
      <c r="N16" s="34"/>
      <c r="O16" s="100"/>
      <c r="P16" s="100"/>
      <c r="Q16" s="100"/>
      <c r="R16" s="200">
        <v>3</v>
      </c>
      <c r="S16" s="100"/>
      <c r="T16" s="100"/>
      <c r="U16" s="100"/>
      <c r="V16" s="200">
        <v>5</v>
      </c>
      <c r="W16" s="100"/>
      <c r="X16" s="100"/>
      <c r="Y16" s="100"/>
      <c r="Z16" s="100"/>
      <c r="AA16" s="100"/>
      <c r="AB16" s="100"/>
      <c r="AC16" s="100"/>
      <c r="AD16" s="101"/>
      <c r="AE16" s="34"/>
    </row>
    <row r="17" spans="1:31" x14ac:dyDescent="0.25">
      <c r="A17" s="34"/>
      <c r="B17" s="50" t="s">
        <v>145</v>
      </c>
      <c r="C17" s="34">
        <f>20/(IF($J$36="Yes",1,0)+1)*(IF($J$39="Yes",1,0)+1)</f>
        <v>20</v>
      </c>
      <c r="D17" s="34">
        <f t="shared" si="2"/>
        <v>10</v>
      </c>
      <c r="E17" s="25">
        <f t="shared" si="3"/>
        <v>10</v>
      </c>
      <c r="F17" s="46">
        <f t="shared" si="0"/>
        <v>5</v>
      </c>
      <c r="G17" s="26">
        <f t="shared" si="4"/>
        <v>2</v>
      </c>
      <c r="H17" s="27">
        <f t="shared" si="5"/>
        <v>20</v>
      </c>
      <c r="I17" s="138">
        <f t="shared" si="6"/>
        <v>5</v>
      </c>
      <c r="J17" s="28">
        <f t="shared" si="7"/>
        <v>7</v>
      </c>
      <c r="K17" s="126">
        <f t="shared" si="8"/>
        <v>1</v>
      </c>
      <c r="L17" s="50" t="str">
        <f t="shared" si="1"/>
        <v>Scuba Diver</v>
      </c>
      <c r="M17" s="47"/>
      <c r="N17" s="34"/>
      <c r="O17" s="99"/>
      <c r="P17" s="99"/>
      <c r="Q17" s="99">
        <v>2</v>
      </c>
      <c r="R17" s="99">
        <v>4</v>
      </c>
      <c r="S17" s="99">
        <v>1</v>
      </c>
      <c r="T17" s="99">
        <v>3</v>
      </c>
      <c r="U17" s="99">
        <v>1</v>
      </c>
      <c r="V17" s="99">
        <v>3</v>
      </c>
      <c r="W17" s="99"/>
      <c r="X17" s="99"/>
      <c r="Y17" s="99"/>
      <c r="Z17" s="99"/>
      <c r="AA17" s="99"/>
      <c r="AB17" s="99"/>
      <c r="AC17" s="99"/>
      <c r="AD17" s="101"/>
      <c r="AE17" s="34"/>
    </row>
    <row r="18" spans="1:31" x14ac:dyDescent="0.25">
      <c r="A18" s="34"/>
      <c r="B18" s="129" t="s">
        <v>75</v>
      </c>
      <c r="C18" s="113">
        <f>30/(IF($J$36="Yes",1,0)+1)*(IF($J$39="Yes",1,0)+1)</f>
        <v>30</v>
      </c>
      <c r="D18" s="113">
        <f t="shared" si="2"/>
        <v>15</v>
      </c>
      <c r="E18" s="29">
        <f t="shared" si="3"/>
        <v>15</v>
      </c>
      <c r="F18" s="48">
        <f t="shared" si="0"/>
        <v>8</v>
      </c>
      <c r="G18" s="117">
        <f t="shared" si="4"/>
        <v>2</v>
      </c>
      <c r="H18" s="120">
        <f t="shared" si="5"/>
        <v>30</v>
      </c>
      <c r="I18" s="30">
        <f t="shared" si="6"/>
        <v>8</v>
      </c>
      <c r="J18" s="124">
        <f t="shared" si="7"/>
        <v>10</v>
      </c>
      <c r="K18" s="49">
        <f t="shared" si="8"/>
        <v>1</v>
      </c>
      <c r="L18" s="129" t="str">
        <f t="shared" si="1"/>
        <v>Shark</v>
      </c>
      <c r="M18" s="47"/>
      <c r="N18" s="34"/>
      <c r="O18" s="100"/>
      <c r="P18" s="100"/>
      <c r="Q18" s="100"/>
      <c r="R18" s="100"/>
      <c r="S18" s="200">
        <v>3</v>
      </c>
      <c r="T18" s="200">
        <f>2+IF(J45="Yes",1,0)</f>
        <v>3</v>
      </c>
      <c r="U18" s="100"/>
      <c r="V18" s="200">
        <v>3</v>
      </c>
      <c r="W18" s="100"/>
      <c r="X18" s="100"/>
      <c r="Y18" s="100"/>
      <c r="Z18" s="100"/>
      <c r="AA18" s="100"/>
      <c r="AB18" s="100"/>
      <c r="AC18" s="100"/>
      <c r="AD18" s="101"/>
      <c r="AE18" s="34"/>
    </row>
    <row r="19" spans="1:31" x14ac:dyDescent="0.25">
      <c r="A19" s="34"/>
      <c r="B19" s="50" t="s">
        <v>77</v>
      </c>
      <c r="C19" s="34">
        <f>12/(IF($J$36="Yes",1,0)+1)*(IF($J$39="Yes",1,0)+1)</f>
        <v>12</v>
      </c>
      <c r="D19" s="34">
        <f t="shared" si="2"/>
        <v>6</v>
      </c>
      <c r="E19" s="25">
        <f t="shared" si="3"/>
        <v>6</v>
      </c>
      <c r="F19" s="46">
        <f t="shared" si="0"/>
        <v>3</v>
      </c>
      <c r="G19" s="26">
        <f t="shared" si="4"/>
        <v>1</v>
      </c>
      <c r="H19" s="27">
        <f t="shared" si="5"/>
        <v>12</v>
      </c>
      <c r="I19" s="138">
        <f t="shared" si="6"/>
        <v>3</v>
      </c>
      <c r="J19" s="28">
        <f t="shared" si="7"/>
        <v>4</v>
      </c>
      <c r="K19" s="126">
        <f t="shared" si="8"/>
        <v>1</v>
      </c>
      <c r="L19" s="50" t="str">
        <f t="shared" si="1"/>
        <v>Barracuda</v>
      </c>
      <c r="M19" s="47"/>
      <c r="N19" s="34"/>
      <c r="O19" s="99"/>
      <c r="P19" s="99"/>
      <c r="Q19" s="99"/>
      <c r="R19" s="99"/>
      <c r="S19" s="99">
        <v>7</v>
      </c>
      <c r="T19" s="99">
        <v>7</v>
      </c>
      <c r="U19" s="99">
        <v>2</v>
      </c>
      <c r="V19" s="99">
        <v>4</v>
      </c>
      <c r="W19" s="99"/>
      <c r="X19" s="99"/>
      <c r="Y19" s="99"/>
      <c r="Z19" s="99"/>
      <c r="AA19" s="99"/>
      <c r="AB19" s="99"/>
      <c r="AC19" s="99"/>
      <c r="AD19" s="101"/>
      <c r="AE19" s="34"/>
    </row>
    <row r="20" spans="1:31" x14ac:dyDescent="0.25">
      <c r="A20" s="34"/>
      <c r="B20" s="129" t="s">
        <v>78</v>
      </c>
      <c r="C20" s="113">
        <f>45/(IF($J$36="Yes",1,0)+1)*(IF($J$39="Yes",1,0)+1)</f>
        <v>45</v>
      </c>
      <c r="D20" s="113">
        <f t="shared" si="2"/>
        <v>23</v>
      </c>
      <c r="E20" s="29">
        <f t="shared" si="3"/>
        <v>23</v>
      </c>
      <c r="F20" s="48">
        <f t="shared" si="0"/>
        <v>12</v>
      </c>
      <c r="G20" s="117">
        <f t="shared" si="4"/>
        <v>3</v>
      </c>
      <c r="H20" s="120">
        <f t="shared" si="5"/>
        <v>45</v>
      </c>
      <c r="I20" s="30">
        <f t="shared" si="6"/>
        <v>12</v>
      </c>
      <c r="J20" s="124">
        <f t="shared" si="7"/>
        <v>15</v>
      </c>
      <c r="K20" s="49">
        <f t="shared" si="8"/>
        <v>2</v>
      </c>
      <c r="L20" s="129" t="str">
        <f t="shared" si="1"/>
        <v>Uzi Thug</v>
      </c>
      <c r="M20" s="47"/>
      <c r="N20" s="34"/>
      <c r="O20" s="100"/>
      <c r="P20" s="100"/>
      <c r="Q20" s="100"/>
      <c r="R20" s="100"/>
      <c r="S20" s="100"/>
      <c r="T20" s="100"/>
      <c r="U20" s="100"/>
      <c r="V20" s="100"/>
      <c r="W20" s="100"/>
      <c r="X20" s="200">
        <v>13</v>
      </c>
      <c r="Y20" s="200">
        <v>3</v>
      </c>
      <c r="Z20" s="100"/>
      <c r="AA20" s="100"/>
      <c r="AB20" s="100"/>
      <c r="AC20" s="100"/>
      <c r="AD20" s="101"/>
      <c r="AE20" s="34"/>
    </row>
    <row r="21" spans="1:31" x14ac:dyDescent="0.25">
      <c r="A21" s="34"/>
      <c r="B21" s="50" t="s">
        <v>80</v>
      </c>
      <c r="C21" s="34">
        <f>50/(IF($J$36="Yes",1,0)+1)*(IF($J$39="Yes",1,0)+1)</f>
        <v>50</v>
      </c>
      <c r="D21" s="34">
        <f t="shared" si="2"/>
        <v>25</v>
      </c>
      <c r="E21" s="25">
        <f t="shared" si="3"/>
        <v>25</v>
      </c>
      <c r="F21" s="46">
        <f t="shared" si="0"/>
        <v>13</v>
      </c>
      <c r="G21" s="26">
        <f t="shared" si="4"/>
        <v>3</v>
      </c>
      <c r="H21" s="27">
        <f t="shared" si="5"/>
        <v>50</v>
      </c>
      <c r="I21" s="138">
        <f t="shared" si="6"/>
        <v>13</v>
      </c>
      <c r="J21" s="28">
        <f t="shared" si="7"/>
        <v>17</v>
      </c>
      <c r="K21" s="126">
        <f t="shared" si="8"/>
        <v>2</v>
      </c>
      <c r="L21" s="50" t="str">
        <f t="shared" si="1"/>
        <v>Burst Pistol Thug</v>
      </c>
      <c r="M21" s="47"/>
      <c r="N21" s="34"/>
      <c r="O21" s="99"/>
      <c r="P21" s="99"/>
      <c r="Q21" s="99"/>
      <c r="R21" s="99"/>
      <c r="S21" s="99"/>
      <c r="T21" s="99"/>
      <c r="U21" s="99"/>
      <c r="V21" s="99"/>
      <c r="W21" s="99">
        <v>15</v>
      </c>
      <c r="X21" s="99">
        <v>11</v>
      </c>
      <c r="Y21" s="99">
        <v>4</v>
      </c>
      <c r="Z21" s="99"/>
      <c r="AA21" s="99"/>
      <c r="AB21" s="99"/>
      <c r="AC21" s="99"/>
      <c r="AD21" s="101"/>
      <c r="AE21" s="34"/>
    </row>
    <row r="22" spans="1:31" x14ac:dyDescent="0.25">
      <c r="A22" s="34"/>
      <c r="B22" s="129" t="s">
        <v>81</v>
      </c>
      <c r="C22" s="113">
        <f>100/(IF($J$36="Yes",1,0)+1)*(IF($J$39="Yes",1,0)+1)</f>
        <v>100</v>
      </c>
      <c r="D22" s="113">
        <f t="shared" si="2"/>
        <v>50</v>
      </c>
      <c r="E22" s="29">
        <f t="shared" si="3"/>
        <v>50</v>
      </c>
      <c r="F22" s="48">
        <f t="shared" si="0"/>
        <v>25</v>
      </c>
      <c r="G22" s="117">
        <f t="shared" si="4"/>
        <v>6</v>
      </c>
      <c r="H22" s="120">
        <f t="shared" si="5"/>
        <v>100</v>
      </c>
      <c r="I22" s="30">
        <f t="shared" si="6"/>
        <v>25</v>
      </c>
      <c r="J22" s="124">
        <f t="shared" si="7"/>
        <v>34</v>
      </c>
      <c r="K22" s="49">
        <f t="shared" si="8"/>
        <v>4</v>
      </c>
      <c r="L22" s="129" t="str">
        <f t="shared" si="1"/>
        <v>Snowmobile Thug</v>
      </c>
      <c r="M22" s="47"/>
      <c r="N22" s="34"/>
      <c r="O22" s="100"/>
      <c r="P22" s="100"/>
      <c r="Q22" s="100"/>
      <c r="R22" s="100"/>
      <c r="S22" s="100"/>
      <c r="T22" s="100"/>
      <c r="U22" s="100"/>
      <c r="V22" s="100"/>
      <c r="W22" s="200">
        <v>4</v>
      </c>
      <c r="X22" s="100"/>
      <c r="Y22" s="100"/>
      <c r="Z22" s="100"/>
      <c r="AA22" s="100"/>
      <c r="AB22" s="100"/>
      <c r="AC22" s="100"/>
      <c r="AD22" s="101"/>
      <c r="AE22" s="34"/>
    </row>
    <row r="23" spans="1:31" x14ac:dyDescent="0.25">
      <c r="A23" s="34"/>
      <c r="B23" s="50" t="s">
        <v>82</v>
      </c>
      <c r="C23" s="34">
        <f>20/(IF($J$36="Yes",1,0)+1)*(IF($J$39="Yes",1,0)+1)</f>
        <v>20</v>
      </c>
      <c r="D23" s="34">
        <f t="shared" si="2"/>
        <v>10</v>
      </c>
      <c r="E23" s="25">
        <f t="shared" si="3"/>
        <v>10</v>
      </c>
      <c r="F23" s="46">
        <f t="shared" si="0"/>
        <v>5</v>
      </c>
      <c r="G23" s="26">
        <f t="shared" si="4"/>
        <v>2</v>
      </c>
      <c r="H23" s="27">
        <f t="shared" si="5"/>
        <v>20</v>
      </c>
      <c r="I23" s="138">
        <f t="shared" si="6"/>
        <v>5</v>
      </c>
      <c r="J23" s="28">
        <f t="shared" si="7"/>
        <v>7</v>
      </c>
      <c r="K23" s="126">
        <f t="shared" si="8"/>
        <v>1</v>
      </c>
      <c r="L23" s="50" t="str">
        <f t="shared" si="1"/>
        <v>Snow Leopard</v>
      </c>
      <c r="M23" s="47"/>
      <c r="N23" s="34"/>
      <c r="O23" s="99"/>
      <c r="P23" s="99"/>
      <c r="Q23" s="99"/>
      <c r="R23" s="99"/>
      <c r="S23" s="99"/>
      <c r="T23" s="99"/>
      <c r="U23" s="99"/>
      <c r="V23" s="99"/>
      <c r="W23" s="99">
        <v>10</v>
      </c>
      <c r="X23" s="99"/>
      <c r="Y23" s="99">
        <v>18</v>
      </c>
      <c r="Z23" s="99"/>
      <c r="AA23" s="99"/>
      <c r="AB23" s="99"/>
      <c r="AC23" s="99"/>
      <c r="AD23" s="101"/>
      <c r="AE23" s="34"/>
    </row>
    <row r="24" spans="1:31" x14ac:dyDescent="0.25">
      <c r="A24" s="34"/>
      <c r="B24" s="129" t="s">
        <v>83</v>
      </c>
      <c r="C24" s="113">
        <f>30/(IF($J$36="Yes",1,0)+1)*(IF($J$39="Yes",1,0)+1)</f>
        <v>30</v>
      </c>
      <c r="D24" s="113">
        <f t="shared" si="2"/>
        <v>15</v>
      </c>
      <c r="E24" s="29">
        <f t="shared" si="3"/>
        <v>15</v>
      </c>
      <c r="F24" s="48">
        <f t="shared" si="0"/>
        <v>8</v>
      </c>
      <c r="G24" s="117">
        <f t="shared" si="4"/>
        <v>2</v>
      </c>
      <c r="H24" s="120">
        <f t="shared" si="5"/>
        <v>30</v>
      </c>
      <c r="I24" s="30">
        <f t="shared" si="6"/>
        <v>8</v>
      </c>
      <c r="J24" s="124">
        <f t="shared" si="7"/>
        <v>10</v>
      </c>
      <c r="K24" s="49">
        <f t="shared" si="8"/>
        <v>1</v>
      </c>
      <c r="L24" s="129" t="str">
        <f t="shared" si="1"/>
        <v>Monastery Monk</v>
      </c>
      <c r="M24" s="47"/>
      <c r="N24" s="34"/>
      <c r="O24" s="100"/>
      <c r="P24" s="100"/>
      <c r="Q24" s="100"/>
      <c r="R24" s="100"/>
      <c r="S24" s="100"/>
      <c r="T24" s="100"/>
      <c r="U24" s="100"/>
      <c r="V24" s="100"/>
      <c r="W24" s="100"/>
      <c r="X24" s="200">
        <v>22</v>
      </c>
      <c r="Y24" s="100"/>
      <c r="Z24" s="100"/>
      <c r="AA24" s="100"/>
      <c r="AB24" s="100"/>
      <c r="AC24" s="100"/>
      <c r="AD24" s="101"/>
      <c r="AE24" s="34"/>
    </row>
    <row r="25" spans="1:31" x14ac:dyDescent="0.25">
      <c r="A25" s="34"/>
      <c r="B25" s="50" t="s">
        <v>85</v>
      </c>
      <c r="C25" s="34">
        <f>12/(IF($J$36="Yes",1,0)+1)*(IF($J$39="Yes",1,0)+1)</f>
        <v>12</v>
      </c>
      <c r="D25" s="34">
        <f t="shared" si="2"/>
        <v>6</v>
      </c>
      <c r="E25" s="25">
        <f t="shared" si="3"/>
        <v>6</v>
      </c>
      <c r="F25" s="46">
        <f t="shared" si="0"/>
        <v>3</v>
      </c>
      <c r="G25" s="26">
        <f t="shared" si="4"/>
        <v>1</v>
      </c>
      <c r="H25" s="27">
        <f t="shared" si="5"/>
        <v>12</v>
      </c>
      <c r="I25" s="138">
        <f t="shared" si="6"/>
        <v>3</v>
      </c>
      <c r="J25" s="28">
        <f t="shared" si="7"/>
        <v>4</v>
      </c>
      <c r="K25" s="126">
        <f t="shared" si="8"/>
        <v>1</v>
      </c>
      <c r="L25" s="50" t="str">
        <f t="shared" si="1"/>
        <v>Catfish</v>
      </c>
      <c r="M25" s="47"/>
      <c r="N25" s="34"/>
      <c r="O25" s="99"/>
      <c r="P25" s="99"/>
      <c r="Q25" s="99"/>
      <c r="R25" s="99"/>
      <c r="S25" s="99"/>
      <c r="T25" s="99"/>
      <c r="U25" s="99"/>
      <c r="V25" s="99"/>
      <c r="W25" s="99"/>
      <c r="X25" s="99"/>
      <c r="Y25" s="99">
        <v>3</v>
      </c>
      <c r="Z25" s="99">
        <v>2</v>
      </c>
      <c r="AA25" s="99">
        <v>6</v>
      </c>
      <c r="AB25" s="99"/>
      <c r="AC25" s="99"/>
      <c r="AD25" s="101"/>
      <c r="AE25" s="34"/>
    </row>
    <row r="26" spans="1:31" x14ac:dyDescent="0.25">
      <c r="A26" s="34"/>
      <c r="B26" s="129" t="s">
        <v>87</v>
      </c>
      <c r="C26" s="113">
        <f>30/(IF($J$36="Yes",1,0)+1)*(IF($J$39="Yes",1,0)+1)</f>
        <v>30</v>
      </c>
      <c r="D26" s="113">
        <f t="shared" si="2"/>
        <v>15</v>
      </c>
      <c r="E26" s="29">
        <f t="shared" si="3"/>
        <v>15</v>
      </c>
      <c r="F26" s="48">
        <f t="shared" si="0"/>
        <v>8</v>
      </c>
      <c r="G26" s="117">
        <f t="shared" si="4"/>
        <v>2</v>
      </c>
      <c r="H26" s="120">
        <f t="shared" si="5"/>
        <v>30</v>
      </c>
      <c r="I26" s="30">
        <f t="shared" si="6"/>
        <v>8</v>
      </c>
      <c r="J26" s="124">
        <f t="shared" si="7"/>
        <v>10</v>
      </c>
      <c r="K26" s="49">
        <f t="shared" si="8"/>
        <v>1</v>
      </c>
      <c r="L26" s="129" t="str">
        <f t="shared" si="1"/>
        <v>Yeti</v>
      </c>
      <c r="M26" s="47"/>
      <c r="N26" s="34"/>
      <c r="O26" s="100"/>
      <c r="P26" s="100"/>
      <c r="Q26" s="100"/>
      <c r="R26" s="100"/>
      <c r="S26" s="100"/>
      <c r="T26" s="100"/>
      <c r="U26" s="100"/>
      <c r="V26" s="100"/>
      <c r="W26" s="100"/>
      <c r="X26" s="100"/>
      <c r="Y26" s="200">
        <v>5</v>
      </c>
      <c r="Z26" s="200">
        <v>13</v>
      </c>
      <c r="AA26" s="100"/>
      <c r="AB26" s="100"/>
      <c r="AC26" s="100"/>
      <c r="AD26" s="101"/>
      <c r="AE26" s="34"/>
    </row>
    <row r="27" spans="1:31" x14ac:dyDescent="0.25">
      <c r="A27" s="34"/>
      <c r="B27" s="50" t="s">
        <v>88</v>
      </c>
      <c r="C27" s="34">
        <f>200/(IF($J$36="Yes",1,0)+1)*(IF($J$39="Yes",1,0)+1)</f>
        <v>200</v>
      </c>
      <c r="D27" s="34">
        <f t="shared" si="2"/>
        <v>100</v>
      </c>
      <c r="E27" s="25">
        <f t="shared" si="3"/>
        <v>100</v>
      </c>
      <c r="F27" s="46">
        <f t="shared" si="0"/>
        <v>50</v>
      </c>
      <c r="G27" s="26">
        <f t="shared" si="4"/>
        <v>12</v>
      </c>
      <c r="H27" s="27">
        <f t="shared" si="5"/>
        <v>200</v>
      </c>
      <c r="I27" s="138">
        <f t="shared" si="6"/>
        <v>50</v>
      </c>
      <c r="J27" s="28">
        <f t="shared" si="7"/>
        <v>67</v>
      </c>
      <c r="K27" s="126">
        <f t="shared" si="8"/>
        <v>7</v>
      </c>
      <c r="L27" s="50" t="str">
        <f t="shared" si="1"/>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90</v>
      </c>
      <c r="C28" s="113">
        <f>20/(IF($J$36="Yes",1,0)+1)*(IF($J$39="Yes",1,0)+1)</f>
        <v>20</v>
      </c>
      <c r="D28" s="113">
        <f t="shared" si="2"/>
        <v>10</v>
      </c>
      <c r="E28" s="29">
        <f t="shared" si="3"/>
        <v>10</v>
      </c>
      <c r="F28" s="48">
        <f t="shared" si="0"/>
        <v>5</v>
      </c>
      <c r="G28" s="117">
        <f t="shared" si="4"/>
        <v>2</v>
      </c>
      <c r="H28" s="120">
        <f t="shared" si="5"/>
        <v>20</v>
      </c>
      <c r="I28" s="30">
        <f t="shared" si="6"/>
        <v>5</v>
      </c>
      <c r="J28" s="124">
        <f t="shared" si="7"/>
        <v>7</v>
      </c>
      <c r="K28" s="49">
        <f t="shared" si="8"/>
        <v>1</v>
      </c>
      <c r="L28" s="129" t="str">
        <f t="shared" si="1"/>
        <v>Eagle</v>
      </c>
      <c r="M28" s="47"/>
      <c r="N28" s="34"/>
      <c r="O28" s="100"/>
      <c r="P28" s="100"/>
      <c r="Q28" s="100"/>
      <c r="R28" s="100"/>
      <c r="S28" s="100"/>
      <c r="T28" s="100"/>
      <c r="U28" s="100"/>
      <c r="V28" s="100"/>
      <c r="W28" s="200">
        <v>4</v>
      </c>
      <c r="X28" s="100"/>
      <c r="Y28" s="100"/>
      <c r="Z28" s="100"/>
      <c r="AA28" s="200">
        <v>7</v>
      </c>
      <c r="AB28" s="100"/>
      <c r="AC28" s="100"/>
      <c r="AD28" s="101"/>
      <c r="AE28" s="34"/>
    </row>
    <row r="29" spans="1:31" x14ac:dyDescent="0.25">
      <c r="A29" s="34"/>
      <c r="B29" s="50" t="s">
        <v>91</v>
      </c>
      <c r="C29" s="34">
        <f>40/(IF($J$36="Yes",1,0)+1)*(IF($J$39="Yes",1,0)+1)</f>
        <v>40</v>
      </c>
      <c r="D29" s="34">
        <f t="shared" si="2"/>
        <v>20</v>
      </c>
      <c r="E29" s="25">
        <f t="shared" si="3"/>
        <v>20</v>
      </c>
      <c r="F29" s="46">
        <f t="shared" si="0"/>
        <v>10</v>
      </c>
      <c r="G29" s="26">
        <f t="shared" si="4"/>
        <v>3</v>
      </c>
      <c r="H29" s="27">
        <f t="shared" si="5"/>
        <v>40</v>
      </c>
      <c r="I29" s="138">
        <f t="shared" si="6"/>
        <v>10</v>
      </c>
      <c r="J29" s="28">
        <f t="shared" si="7"/>
        <v>14</v>
      </c>
      <c r="K29" s="126">
        <f t="shared" si="8"/>
        <v>2</v>
      </c>
      <c r="L29" s="50" t="str">
        <f t="shared" si="1"/>
        <v>Giant Spider</v>
      </c>
      <c r="M29" s="47"/>
      <c r="N29" s="34"/>
      <c r="O29" s="99"/>
      <c r="P29" s="99"/>
      <c r="Q29" s="99"/>
      <c r="R29" s="99"/>
      <c r="S29" s="99"/>
      <c r="T29" s="99"/>
      <c r="U29" s="99"/>
      <c r="V29" s="99"/>
      <c r="W29" s="99"/>
      <c r="X29" s="99"/>
      <c r="Y29" s="99"/>
      <c r="Z29" s="99"/>
      <c r="AA29" s="99">
        <v>5</v>
      </c>
      <c r="AB29" s="99"/>
      <c r="AC29" s="99"/>
      <c r="AD29" s="101"/>
      <c r="AE29" s="34"/>
    </row>
    <row r="30" spans="1:31" x14ac:dyDescent="0.25">
      <c r="A30" s="34"/>
      <c r="B30" s="129" t="s">
        <v>93</v>
      </c>
      <c r="C30" s="113">
        <f>80/(IF($J$36="Yes",1,0)+1)*(IF($J$39="Yes",1,0)+1)</f>
        <v>80</v>
      </c>
      <c r="D30" s="113">
        <f t="shared" si="2"/>
        <v>40</v>
      </c>
      <c r="E30" s="29">
        <f t="shared" si="3"/>
        <v>40</v>
      </c>
      <c r="F30" s="48">
        <f t="shared" si="0"/>
        <v>20</v>
      </c>
      <c r="G30" s="117">
        <f t="shared" si="4"/>
        <v>5</v>
      </c>
      <c r="H30" s="120">
        <f t="shared" si="5"/>
        <v>80</v>
      </c>
      <c r="I30" s="30">
        <f t="shared" si="6"/>
        <v>20</v>
      </c>
      <c r="J30" s="124">
        <f t="shared" si="7"/>
        <v>27</v>
      </c>
      <c r="K30" s="49">
        <f t="shared" si="8"/>
        <v>3</v>
      </c>
      <c r="L30" s="129" t="str">
        <f t="shared" si="1"/>
        <v>Sword Statue</v>
      </c>
      <c r="M30" s="47"/>
      <c r="N30" s="34"/>
      <c r="O30" s="100"/>
      <c r="P30" s="100"/>
      <c r="Q30" s="100"/>
      <c r="R30" s="100"/>
      <c r="S30" s="100"/>
      <c r="T30" s="100"/>
      <c r="U30" s="100"/>
      <c r="V30" s="100"/>
      <c r="W30" s="100"/>
      <c r="X30" s="100"/>
      <c r="Y30" s="100"/>
      <c r="Z30" s="100"/>
      <c r="AA30" s="100"/>
      <c r="AB30" s="200">
        <v>8</v>
      </c>
      <c r="AC30" s="100"/>
      <c r="AD30" s="101"/>
      <c r="AE30" s="34"/>
    </row>
    <row r="31" spans="1:31" x14ac:dyDescent="0.25">
      <c r="A31" s="34"/>
      <c r="B31" s="50" t="s">
        <v>94</v>
      </c>
      <c r="C31" s="34">
        <f>100/(IF($J$36="Yes",1,0)+1)*(IF($J$39="Yes",1,0)+1)</f>
        <v>100</v>
      </c>
      <c r="D31" s="34">
        <f t="shared" si="2"/>
        <v>50</v>
      </c>
      <c r="E31" s="25">
        <f t="shared" si="3"/>
        <v>50</v>
      </c>
      <c r="F31" s="46">
        <f t="shared" si="0"/>
        <v>25</v>
      </c>
      <c r="G31" s="26">
        <f t="shared" si="4"/>
        <v>6</v>
      </c>
      <c r="H31" s="27">
        <f t="shared" si="5"/>
        <v>100</v>
      </c>
      <c r="I31" s="138">
        <f t="shared" si="6"/>
        <v>25</v>
      </c>
      <c r="J31" s="28">
        <f t="shared" si="7"/>
        <v>34</v>
      </c>
      <c r="K31" s="126">
        <f t="shared" si="8"/>
        <v>4</v>
      </c>
      <c r="L31" s="50" t="str">
        <f t="shared" si="1"/>
        <v>Spear Statue</v>
      </c>
      <c r="M31" s="47"/>
      <c r="N31" s="34"/>
      <c r="O31" s="99"/>
      <c r="P31" s="99"/>
      <c r="Q31" s="99"/>
      <c r="R31" s="99"/>
      <c r="S31" s="99"/>
      <c r="T31" s="99"/>
      <c r="U31" s="99"/>
      <c r="V31" s="99"/>
      <c r="W31" s="99"/>
      <c r="X31" s="99"/>
      <c r="Y31" s="99"/>
      <c r="Z31" s="99"/>
      <c r="AA31" s="99"/>
      <c r="AB31" s="99">
        <v>12</v>
      </c>
      <c r="AC31" s="99">
        <v>4</v>
      </c>
      <c r="AD31" s="101"/>
      <c r="AE31" s="34"/>
    </row>
    <row r="32" spans="1:31" x14ac:dyDescent="0.25">
      <c r="A32" s="34"/>
      <c r="B32" s="129" t="s">
        <v>95</v>
      </c>
      <c r="C32" s="113">
        <f>60/(IF($J$36="Yes",1,0)+1)*(IF($J$39="Yes",1,0)+1)</f>
        <v>60</v>
      </c>
      <c r="D32" s="113">
        <f t="shared" si="2"/>
        <v>30</v>
      </c>
      <c r="E32" s="29">
        <f t="shared" si="3"/>
        <v>30</v>
      </c>
      <c r="F32" s="48">
        <f t="shared" si="0"/>
        <v>15</v>
      </c>
      <c r="G32" s="119">
        <f t="shared" si="4"/>
        <v>4</v>
      </c>
      <c r="H32" s="120">
        <f t="shared" si="5"/>
        <v>60</v>
      </c>
      <c r="I32" s="30">
        <f t="shared" si="6"/>
        <v>15</v>
      </c>
      <c r="J32" s="124">
        <f t="shared" si="7"/>
        <v>20</v>
      </c>
      <c r="K32" s="49">
        <f t="shared" si="8"/>
        <v>2</v>
      </c>
      <c r="L32" s="129" t="str">
        <f t="shared" si="1"/>
        <v>Bartoli's Monk</v>
      </c>
      <c r="M32" s="47"/>
      <c r="N32" s="34"/>
      <c r="O32" s="100"/>
      <c r="P32" s="100"/>
      <c r="Q32" s="100"/>
      <c r="R32" s="100"/>
      <c r="S32" s="100"/>
      <c r="T32" s="100"/>
      <c r="U32" s="100"/>
      <c r="V32" s="100"/>
      <c r="W32" s="100"/>
      <c r="X32" s="100"/>
      <c r="Y32" s="100"/>
      <c r="Z32" s="100"/>
      <c r="AA32" s="100"/>
      <c r="AB32" s="200">
        <v>6</v>
      </c>
      <c r="AC32" s="200">
        <v>6</v>
      </c>
      <c r="AD32" s="101"/>
      <c r="AE32" s="34"/>
    </row>
    <row r="33" spans="1:31" x14ac:dyDescent="0.25">
      <c r="A33" s="34"/>
      <c r="B33" s="51" t="s">
        <v>54</v>
      </c>
      <c r="C33" s="52">
        <f>300/(IF($J$36="Yes",1,0)+1)*(IF($J$39="Yes",1,0)+1)</f>
        <v>300</v>
      </c>
      <c r="D33" s="53">
        <f t="shared" si="2"/>
        <v>150</v>
      </c>
      <c r="E33" s="54">
        <f t="shared" si="3"/>
        <v>150</v>
      </c>
      <c r="F33" s="55">
        <f t="shared" si="0"/>
        <v>75</v>
      </c>
      <c r="G33" s="56">
        <f t="shared" si="4"/>
        <v>17</v>
      </c>
      <c r="H33" s="57">
        <f t="shared" si="5"/>
        <v>300</v>
      </c>
      <c r="I33" s="139">
        <f t="shared" si="6"/>
        <v>75</v>
      </c>
      <c r="J33" s="58">
        <f t="shared" si="7"/>
        <v>100</v>
      </c>
      <c r="K33" s="127">
        <f t="shared" si="8"/>
        <v>10</v>
      </c>
      <c r="L33" s="130" t="str">
        <f t="shared" si="1"/>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118</v>
      </c>
      <c r="M34" s="179">
        <f>SUM(M5:M8)</f>
        <v>23</v>
      </c>
      <c r="N34" s="180">
        <f t="shared" ref="N34:O34" si="9">SUM(N9:N12)</f>
        <v>24</v>
      </c>
      <c r="O34" s="180">
        <f t="shared" si="9"/>
        <v>37</v>
      </c>
      <c r="P34" s="180">
        <f>SUM(P9:P13)</f>
        <v>46</v>
      </c>
      <c r="Q34" s="180">
        <f>SUM(Q10:Q11,Q14:Q15,Q17)</f>
        <v>20</v>
      </c>
      <c r="R34" s="180">
        <f>SUM(R10:R11,R14:R17)</f>
        <v>34</v>
      </c>
      <c r="S34" s="180">
        <f>SUM(S11,S14,S17:S19)</f>
        <v>16</v>
      </c>
      <c r="T34" s="180">
        <f>SUM(T11,T14:T15,T17:T19)</f>
        <v>36</v>
      </c>
      <c r="U34" s="180">
        <f>SUM(U11,U14,U17,U19)</f>
        <v>21</v>
      </c>
      <c r="V34" s="180">
        <f>SUM(V11,V14,V16:V19)</f>
        <v>30</v>
      </c>
      <c r="W34" s="180">
        <f>SUM(W21:W23,W28)</f>
        <v>33</v>
      </c>
      <c r="X34" s="180">
        <f>SUM(X6,X20:X21,X24)</f>
        <v>52</v>
      </c>
      <c r="Y34" s="180">
        <f>SUM(Y20:Y21,Y23,Y25:Y26)</f>
        <v>33</v>
      </c>
      <c r="Z34" s="180">
        <f>SUM(Z5,Z25:Z27)</f>
        <v>22</v>
      </c>
      <c r="AA34" s="180">
        <f>SUM(AA5,AA7,AA25,AA28:AA29)</f>
        <v>37</v>
      </c>
      <c r="AB34" s="180">
        <f>SUM(AB30:AB32)</f>
        <v>26</v>
      </c>
      <c r="AC34" s="180">
        <f>SUM(AC31:AC33)</f>
        <v>11</v>
      </c>
      <c r="AD34" s="181">
        <f>SUM(AD10:AD13)</f>
        <v>16</v>
      </c>
      <c r="AE34" s="34"/>
    </row>
    <row r="35" spans="1:31" ht="15.75" customHeight="1" x14ac:dyDescent="0.25">
      <c r="A35" s="59"/>
      <c r="B35" s="368" t="s">
        <v>101</v>
      </c>
      <c r="C35" s="109" t="s">
        <v>15</v>
      </c>
      <c r="D35" s="61" t="s">
        <v>16</v>
      </c>
      <c r="E35" s="62" t="s">
        <v>155</v>
      </c>
      <c r="F35" s="63" t="s">
        <v>35</v>
      </c>
      <c r="G35" s="64" t="s">
        <v>20</v>
      </c>
      <c r="H35" s="128" t="s">
        <v>38</v>
      </c>
      <c r="I35" s="34"/>
      <c r="J35" s="177" t="s">
        <v>102</v>
      </c>
      <c r="K35" s="34"/>
      <c r="L35" s="65" t="s">
        <v>103</v>
      </c>
      <c r="M35" s="362" t="s">
        <v>104</v>
      </c>
      <c r="N35" s="316"/>
      <c r="O35" s="316"/>
      <c r="P35" s="316"/>
      <c r="Q35" s="316"/>
      <c r="R35" s="316"/>
      <c r="S35" s="316"/>
      <c r="T35" s="316"/>
      <c r="U35" s="316"/>
      <c r="V35" s="316"/>
      <c r="W35" s="316"/>
      <c r="X35" s="316"/>
      <c r="Y35" s="316"/>
      <c r="Z35" s="316"/>
      <c r="AA35" s="316"/>
      <c r="AB35" s="316"/>
      <c r="AC35" s="316"/>
      <c r="AD35" s="317"/>
      <c r="AE35" s="34"/>
    </row>
    <row r="36" spans="1:31" x14ac:dyDescent="0.25">
      <c r="A36" s="59"/>
      <c r="B36" s="339"/>
      <c r="C36" s="29">
        <v>40</v>
      </c>
      <c r="D36" s="118">
        <v>2</v>
      </c>
      <c r="E36" s="122">
        <v>80</v>
      </c>
      <c r="F36" s="66">
        <v>3</v>
      </c>
      <c r="G36" s="131">
        <v>40</v>
      </c>
      <c r="H36" s="67">
        <v>2</v>
      </c>
      <c r="I36" s="34"/>
      <c r="J36" s="178" t="s">
        <v>132</v>
      </c>
      <c r="K36" s="34"/>
      <c r="L36" s="68" t="s">
        <v>105</v>
      </c>
      <c r="M36" s="69">
        <f>M5*$D$5+M6*$D$6+M7*$D$7+M8*$D$8</f>
        <v>213</v>
      </c>
      <c r="N36" s="69">
        <f t="shared" ref="N36:O36" si="10">N9*$D$9+N10*$D$10+N11*$D$11+N12*$D$12</f>
        <v>221</v>
      </c>
      <c r="O36" s="69">
        <f t="shared" si="10"/>
        <v>299</v>
      </c>
      <c r="P36" s="69">
        <f>P9*$D$9+P10*$D$10+P11*$D$11+P12*$D$12+P13*$D$13</f>
        <v>509</v>
      </c>
      <c r="Q36" s="69">
        <f>Q10*$D$10+Q11*$D$11+Q14*$D$14+Q15*$D$15+Q17*$D$17</f>
        <v>247</v>
      </c>
      <c r="R36" s="69">
        <f>R10*$D$10+R11*$D$11+R14*$D$14+R15*$D$15+R16+$D$16+R17*$D$17</f>
        <v>339</v>
      </c>
      <c r="S36" s="69">
        <f>S11*$D$11+S14*$D$14+S17*$D$17+S18*$D$18+S19*$D$19</f>
        <v>164</v>
      </c>
      <c r="T36" s="69">
        <f>T11*$D$11+T14*$D$14+T15*$D$15+T17*$D$17+T18*$D$18+T19*$D$19</f>
        <v>404</v>
      </c>
      <c r="U36" s="69">
        <f>U11*$D$11+U14*$D$14+U17*$D$17+U19*$D$19</f>
        <v>265</v>
      </c>
      <c r="V36" s="69">
        <f>V11*$D$11+V14*$D$14+V16*$D$16+V17*$D$17+V18*$D$18+V19*$D$19</f>
        <v>354</v>
      </c>
      <c r="W36" s="69">
        <f>W21*$D$21+W22*$D$22+W23*$D$23+W28*$D$28</f>
        <v>715</v>
      </c>
      <c r="X36" s="69">
        <f>X6*$D$6+X20*$D$20+X21*$D$21+X24*$D$24</f>
        <v>952</v>
      </c>
      <c r="Y36" s="69">
        <f>Y20*$D$20+Y21*$D$21+Y23*$D$23+Y25*$D$25+Y26*$D$26</f>
        <v>442</v>
      </c>
      <c r="Z36" s="69">
        <f>Z5*$D$5+Z25*$D$25+Z26*$D$26+Z27*$D$27</f>
        <v>367</v>
      </c>
      <c r="AA36" s="69">
        <f>AA5*$D$5+AA7*$D$7+AA25*$D$25+AA28*$D$28+AA29*$D$29</f>
        <v>319</v>
      </c>
      <c r="AB36" s="69">
        <f>AB30*$D$30+AB31*$D$31+AB32*$D$32</f>
        <v>1100</v>
      </c>
      <c r="AC36" s="69">
        <f>AC31*$D$31+AC32*$D$32+AC33*$D$33</f>
        <v>530</v>
      </c>
      <c r="AD36" s="70" t="s">
        <v>100</v>
      </c>
      <c r="AE36" s="34"/>
    </row>
    <row r="37" spans="1:31" x14ac:dyDescent="0.25">
      <c r="A37" s="34"/>
      <c r="B37" s="369" t="s">
        <v>106</v>
      </c>
      <c r="C37" s="366"/>
      <c r="D37" s="366"/>
      <c r="E37" s="366"/>
      <c r="F37" s="366"/>
      <c r="G37" s="366"/>
      <c r="H37" s="367"/>
      <c r="I37" s="34"/>
      <c r="J37" s="71"/>
      <c r="K37" s="34"/>
      <c r="L37" s="72" t="s">
        <v>107</v>
      </c>
      <c r="M37" s="46" t="s">
        <v>100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73" t="s">
        <v>100</v>
      </c>
      <c r="AE37" s="34"/>
    </row>
    <row r="38" spans="1:31" x14ac:dyDescent="0.25">
      <c r="A38" s="34"/>
      <c r="B38" s="365" t="s">
        <v>108</v>
      </c>
      <c r="C38" s="366"/>
      <c r="D38" s="366"/>
      <c r="E38" s="366"/>
      <c r="F38" s="366"/>
      <c r="G38" s="366"/>
      <c r="H38" s="367"/>
      <c r="I38" s="34"/>
      <c r="J38" s="177" t="s">
        <v>109</v>
      </c>
      <c r="K38" s="34"/>
      <c r="L38" s="26" t="s">
        <v>110</v>
      </c>
      <c r="M38" s="74">
        <v>0</v>
      </c>
      <c r="N38" s="74">
        <v>0</v>
      </c>
      <c r="O38" s="74">
        <v>0</v>
      </c>
      <c r="P38" s="74">
        <v>0</v>
      </c>
      <c r="Q38" s="74">
        <v>0</v>
      </c>
      <c r="R38" s="74">
        <v>0</v>
      </c>
      <c r="S38" s="74">
        <v>0</v>
      </c>
      <c r="T38" s="74">
        <v>0</v>
      </c>
      <c r="U38" s="74">
        <v>0</v>
      </c>
      <c r="V38" s="74">
        <v>0</v>
      </c>
      <c r="W38" s="74">
        <v>0</v>
      </c>
      <c r="X38" s="74">
        <v>0</v>
      </c>
      <c r="Y38" s="74">
        <v>0</v>
      </c>
      <c r="Z38" s="74">
        <v>0</v>
      </c>
      <c r="AA38" s="74">
        <v>0</v>
      </c>
      <c r="AB38" s="74">
        <v>0</v>
      </c>
      <c r="AC38" s="74">
        <v>0</v>
      </c>
      <c r="AD38" s="75">
        <f>AD10+(AD11+AD12)*2+9</f>
        <v>35</v>
      </c>
      <c r="AE38" s="34"/>
    </row>
    <row r="39" spans="1:31" x14ac:dyDescent="0.25">
      <c r="A39" s="34"/>
      <c r="B39" s="365" t="s">
        <v>137</v>
      </c>
      <c r="C39" s="366"/>
      <c r="D39" s="366"/>
      <c r="E39" s="366"/>
      <c r="F39" s="366"/>
      <c r="G39" s="366"/>
      <c r="H39" s="367"/>
      <c r="I39" s="34"/>
      <c r="J39" s="178" t="s">
        <v>132</v>
      </c>
      <c r="K39" s="34"/>
      <c r="L39" s="76" t="s">
        <v>111</v>
      </c>
      <c r="M39" s="77" t="s">
        <v>100</v>
      </c>
      <c r="N39" s="77" t="s">
        <v>100</v>
      </c>
      <c r="O39" s="77">
        <v>0</v>
      </c>
      <c r="P39" s="77">
        <v>0</v>
      </c>
      <c r="Q39" s="77">
        <v>0</v>
      </c>
      <c r="R39" s="77">
        <v>0</v>
      </c>
      <c r="S39" s="77">
        <v>0</v>
      </c>
      <c r="T39" s="77">
        <v>0</v>
      </c>
      <c r="U39" s="77">
        <v>0</v>
      </c>
      <c r="V39" s="77">
        <v>0</v>
      </c>
      <c r="W39" s="77">
        <v>0</v>
      </c>
      <c r="X39" s="77">
        <v>0</v>
      </c>
      <c r="Y39" s="77">
        <v>0</v>
      </c>
      <c r="Z39" s="77">
        <v>0</v>
      </c>
      <c r="AA39" s="77">
        <v>0</v>
      </c>
      <c r="AB39" s="77">
        <v>0</v>
      </c>
      <c r="AC39" s="77">
        <v>0</v>
      </c>
      <c r="AD39" s="78" t="s">
        <v>100</v>
      </c>
      <c r="AE39" s="34"/>
    </row>
    <row r="40" spans="1:31" x14ac:dyDescent="0.25">
      <c r="A40" s="34"/>
      <c r="B40" s="365" t="s">
        <v>112</v>
      </c>
      <c r="C40" s="366"/>
      <c r="D40" s="366"/>
      <c r="E40" s="366"/>
      <c r="F40" s="366"/>
      <c r="G40" s="366"/>
      <c r="H40" s="367"/>
      <c r="I40" s="34"/>
      <c r="J40" s="34"/>
      <c r="K40" s="34"/>
      <c r="L40" s="254" t="s">
        <v>35</v>
      </c>
      <c r="M40" s="255" t="s">
        <v>100</v>
      </c>
      <c r="N40" s="255" t="s">
        <v>100</v>
      </c>
      <c r="O40" s="255" t="s">
        <v>100</v>
      </c>
      <c r="P40" s="255" t="s">
        <v>100</v>
      </c>
      <c r="Q40" s="255">
        <v>0</v>
      </c>
      <c r="R40" s="255">
        <v>0</v>
      </c>
      <c r="S40" s="255">
        <v>0</v>
      </c>
      <c r="T40" s="255">
        <v>0</v>
      </c>
      <c r="U40" s="255">
        <v>0</v>
      </c>
      <c r="V40" s="255">
        <v>0</v>
      </c>
      <c r="W40" s="255">
        <v>0</v>
      </c>
      <c r="X40" s="255">
        <v>0</v>
      </c>
      <c r="Y40" s="255">
        <v>0</v>
      </c>
      <c r="Z40" s="255">
        <v>0</v>
      </c>
      <c r="AA40" s="255">
        <v>0</v>
      </c>
      <c r="AB40" s="255">
        <v>0</v>
      </c>
      <c r="AC40" s="255">
        <v>0</v>
      </c>
      <c r="AD40" s="256" t="s">
        <v>100</v>
      </c>
      <c r="AE40" s="34"/>
    </row>
    <row r="41" spans="1:31" x14ac:dyDescent="0.25">
      <c r="A41" s="34"/>
      <c r="B41" s="358" t="s">
        <v>119</v>
      </c>
      <c r="C41" s="359"/>
      <c r="D41" s="359"/>
      <c r="E41" s="359"/>
      <c r="F41" s="359"/>
      <c r="G41" s="359"/>
      <c r="H41" s="360"/>
      <c r="I41" s="34"/>
      <c r="J41" s="177" t="s">
        <v>160</v>
      </c>
      <c r="K41" s="34"/>
      <c r="L41" s="80" t="s">
        <v>113</v>
      </c>
      <c r="M41" s="81" t="s">
        <v>100</v>
      </c>
      <c r="N41" s="81" t="s">
        <v>100</v>
      </c>
      <c r="O41" s="81" t="s">
        <v>100</v>
      </c>
      <c r="P41" s="81" t="s">
        <v>100</v>
      </c>
      <c r="Q41" s="81" t="s">
        <v>100</v>
      </c>
      <c r="R41" s="81">
        <v>0</v>
      </c>
      <c r="S41" s="82">
        <v>0</v>
      </c>
      <c r="T41" s="82">
        <v>0</v>
      </c>
      <c r="U41" s="82">
        <v>0</v>
      </c>
      <c r="V41" s="82">
        <v>0</v>
      </c>
      <c r="W41" s="82">
        <v>0</v>
      </c>
      <c r="X41" s="82">
        <v>0</v>
      </c>
      <c r="Y41" s="82">
        <v>0</v>
      </c>
      <c r="Z41" s="82">
        <v>0</v>
      </c>
      <c r="AA41" s="82">
        <v>0</v>
      </c>
      <c r="AB41" s="82">
        <v>0</v>
      </c>
      <c r="AC41" s="82">
        <v>0</v>
      </c>
      <c r="AD41" s="83" t="s">
        <v>100</v>
      </c>
      <c r="AE41" s="34"/>
    </row>
    <row r="42" spans="1:31" ht="15.75" customHeight="1" x14ac:dyDescent="0.25">
      <c r="A42" s="59"/>
      <c r="B42" s="345" t="s">
        <v>159</v>
      </c>
      <c r="C42" s="346"/>
      <c r="D42" s="346"/>
      <c r="E42" s="346"/>
      <c r="F42" s="346"/>
      <c r="G42" s="346"/>
      <c r="H42" s="347"/>
      <c r="I42" s="34"/>
      <c r="J42" s="178" t="s">
        <v>132</v>
      </c>
      <c r="K42" s="34"/>
      <c r="L42" s="140" t="s">
        <v>38</v>
      </c>
      <c r="M42" s="141">
        <v>0</v>
      </c>
      <c r="N42" s="141">
        <v>0</v>
      </c>
      <c r="O42" s="141">
        <v>0</v>
      </c>
      <c r="P42" s="141">
        <v>0</v>
      </c>
      <c r="Q42" s="141" t="s">
        <v>100</v>
      </c>
      <c r="R42" s="141" t="s">
        <v>100</v>
      </c>
      <c r="S42" s="141" t="s">
        <v>100</v>
      </c>
      <c r="T42" s="141">
        <v>0</v>
      </c>
      <c r="U42" s="141">
        <v>0</v>
      </c>
      <c r="V42" s="141">
        <v>0</v>
      </c>
      <c r="W42" s="141">
        <v>0</v>
      </c>
      <c r="X42" s="141">
        <v>0</v>
      </c>
      <c r="Y42" s="141">
        <v>0</v>
      </c>
      <c r="Z42" s="141">
        <v>0</v>
      </c>
      <c r="AA42" s="141">
        <v>0</v>
      </c>
      <c r="AB42" s="141">
        <v>0</v>
      </c>
      <c r="AC42" s="142">
        <f>K33</f>
        <v>10</v>
      </c>
      <c r="AD42" s="143" t="s">
        <v>100</v>
      </c>
      <c r="AE42" s="34"/>
    </row>
    <row r="43" spans="1:31" x14ac:dyDescent="0.25">
      <c r="A43" s="59"/>
      <c r="B43" s="348"/>
      <c r="C43" s="349"/>
      <c r="D43" s="349"/>
      <c r="E43" s="349"/>
      <c r="F43" s="349"/>
      <c r="G43" s="349"/>
      <c r="H43" s="350"/>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8"/>
      <c r="C44" s="349"/>
      <c r="D44" s="349"/>
      <c r="E44" s="349"/>
      <c r="F44" s="349"/>
      <c r="G44" s="349"/>
      <c r="H44" s="350"/>
      <c r="I44" s="34"/>
      <c r="J44" s="177" t="s">
        <v>120</v>
      </c>
      <c r="K44" s="34"/>
      <c r="L44" s="338" t="s">
        <v>7</v>
      </c>
      <c r="M44" s="341" t="s">
        <v>114</v>
      </c>
      <c r="N44" s="342"/>
      <c r="O44" s="342"/>
      <c r="P44" s="342"/>
      <c r="Q44" s="342"/>
      <c r="R44" s="342"/>
      <c r="S44" s="342"/>
      <c r="T44" s="342"/>
      <c r="U44" s="342"/>
      <c r="V44" s="342"/>
      <c r="W44" s="342"/>
      <c r="X44" s="342"/>
      <c r="Y44" s="342"/>
      <c r="Z44" s="342"/>
      <c r="AA44" s="342"/>
      <c r="AB44" s="342"/>
      <c r="AC44" s="342"/>
      <c r="AD44" s="343"/>
      <c r="AE44" s="34"/>
    </row>
    <row r="45" spans="1:31" x14ac:dyDescent="0.25">
      <c r="A45" s="59"/>
      <c r="B45" s="348"/>
      <c r="C45" s="349"/>
      <c r="D45" s="349"/>
      <c r="E45" s="349"/>
      <c r="F45" s="349"/>
      <c r="G45" s="349"/>
      <c r="H45" s="350"/>
      <c r="I45" s="34"/>
      <c r="J45" s="178" t="s">
        <v>134</v>
      </c>
      <c r="K45" s="34"/>
      <c r="L45" s="339"/>
      <c r="M45" s="337" t="s">
        <v>15</v>
      </c>
      <c r="N45" s="319"/>
      <c r="O45" s="319"/>
      <c r="P45" s="340" t="s">
        <v>16</v>
      </c>
      <c r="Q45" s="319"/>
      <c r="R45" s="319"/>
      <c r="S45" s="344" t="s">
        <v>17</v>
      </c>
      <c r="T45" s="319"/>
      <c r="U45" s="319"/>
      <c r="V45" s="370" t="s">
        <v>35</v>
      </c>
      <c r="W45" s="371"/>
      <c r="X45" s="372"/>
      <c r="Y45" s="336" t="s">
        <v>20</v>
      </c>
      <c r="Z45" s="319"/>
      <c r="AA45" s="319"/>
      <c r="AB45" s="373" t="s">
        <v>38</v>
      </c>
      <c r="AC45" s="374"/>
      <c r="AD45" s="375"/>
      <c r="AE45" s="34"/>
    </row>
    <row r="46" spans="1:31" x14ac:dyDescent="0.25">
      <c r="A46" s="59"/>
      <c r="B46" s="348"/>
      <c r="C46" s="349"/>
      <c r="D46" s="349"/>
      <c r="E46" s="349"/>
      <c r="F46" s="349"/>
      <c r="G46" s="349"/>
      <c r="H46" s="350"/>
      <c r="I46" s="34"/>
      <c r="J46" s="34"/>
      <c r="K46" s="34"/>
      <c r="L46" s="339"/>
      <c r="M46" s="208" t="s">
        <v>115</v>
      </c>
      <c r="N46" s="209" t="s">
        <v>36</v>
      </c>
      <c r="O46" s="209" t="s">
        <v>116</v>
      </c>
      <c r="P46" s="118" t="s">
        <v>115</v>
      </c>
      <c r="Q46" s="210" t="s">
        <v>36</v>
      </c>
      <c r="R46" s="133" t="s">
        <v>116</v>
      </c>
      <c r="S46" s="211" t="s">
        <v>115</v>
      </c>
      <c r="T46" s="211" t="s">
        <v>36</v>
      </c>
      <c r="U46" s="211" t="s">
        <v>116</v>
      </c>
      <c r="V46" s="93" t="s">
        <v>115</v>
      </c>
      <c r="W46" s="144" t="s">
        <v>36</v>
      </c>
      <c r="X46" s="66" t="s">
        <v>116</v>
      </c>
      <c r="Y46" s="212" t="s">
        <v>115</v>
      </c>
      <c r="Z46" s="212" t="s">
        <v>36</v>
      </c>
      <c r="AA46" s="212" t="s">
        <v>116</v>
      </c>
      <c r="AB46" s="84" t="s">
        <v>115</v>
      </c>
      <c r="AC46" s="213" t="s">
        <v>36</v>
      </c>
      <c r="AD46" s="214" t="s">
        <v>116</v>
      </c>
      <c r="AE46" s="34"/>
    </row>
    <row r="47" spans="1:31" x14ac:dyDescent="0.25">
      <c r="A47" s="59"/>
      <c r="B47" s="348"/>
      <c r="C47" s="349"/>
      <c r="D47" s="349"/>
      <c r="E47" s="349"/>
      <c r="F47" s="349"/>
      <c r="G47" s="349"/>
      <c r="H47" s="350"/>
      <c r="I47" s="34"/>
      <c r="K47" s="34"/>
      <c r="L47" s="85" t="str">
        <f>M4</f>
        <v>Great Wall</v>
      </c>
      <c r="M47" s="215" t="str">
        <f>M37</f>
        <v>--</v>
      </c>
      <c r="N47" s="86">
        <v>1</v>
      </c>
      <c r="O47" s="86">
        <f>IF(ISNUMBER(N47),N47*$C$36,0)-IF(ISNUMBER(M47),M47,0)</f>
        <v>40</v>
      </c>
      <c r="P47" s="61">
        <f>M38</f>
        <v>0</v>
      </c>
      <c r="Q47" s="87">
        <v>1</v>
      </c>
      <c r="R47" s="88">
        <f>2+IF(ISNUMBER(Q47),Q47*$D$36,0)-IF(ISNUMBER(P47),P47,0)</f>
        <v>4</v>
      </c>
      <c r="S47" s="89" t="s">
        <v>100</v>
      </c>
      <c r="T47" s="89" t="s">
        <v>100</v>
      </c>
      <c r="U47" s="89" t="s">
        <v>100</v>
      </c>
      <c r="V47" s="90" t="s">
        <v>100</v>
      </c>
      <c r="W47" s="110" t="s">
        <v>100</v>
      </c>
      <c r="X47" s="63" t="s">
        <v>100</v>
      </c>
      <c r="Y47" s="91" t="s">
        <v>100</v>
      </c>
      <c r="Z47" s="91" t="s">
        <v>100</v>
      </c>
      <c r="AA47" s="91" t="s">
        <v>100</v>
      </c>
      <c r="AB47" s="134">
        <f>M42</f>
        <v>0</v>
      </c>
      <c r="AC47" s="135">
        <v>3</v>
      </c>
      <c r="AD47" s="216">
        <f>IF(ISNUMBER(AC47),AC47*$H$36,0)-IF(ISNUMBER(AB47),AB47,0)</f>
        <v>6</v>
      </c>
      <c r="AE47" s="34"/>
    </row>
    <row r="48" spans="1:31" x14ac:dyDescent="0.25">
      <c r="A48" s="59"/>
      <c r="B48" s="351"/>
      <c r="C48" s="352"/>
      <c r="D48" s="352"/>
      <c r="E48" s="352"/>
      <c r="F48" s="352"/>
      <c r="G48" s="352"/>
      <c r="H48" s="353"/>
      <c r="I48" s="34"/>
      <c r="K48" s="34"/>
      <c r="L48" s="92" t="str">
        <f>N4</f>
        <v>Venice</v>
      </c>
      <c r="M48" s="208">
        <f>N37*2</f>
        <v>0</v>
      </c>
      <c r="N48" s="209">
        <v>9</v>
      </c>
      <c r="O48" s="209">
        <f>O47+IF(ISNUMBER(N48),N48*$C$36,0)-IF(ISNUMBER(M48),M48,0)</f>
        <v>400</v>
      </c>
      <c r="P48" s="118">
        <f>N38</f>
        <v>0</v>
      </c>
      <c r="Q48" s="210">
        <v>3</v>
      </c>
      <c r="R48" s="133">
        <f>R47+IF(ISNUMBER(Q48),Q48*$D$36,0)-IF(ISNUMBER(P48),P48,0)</f>
        <v>10</v>
      </c>
      <c r="S48" s="211" t="s">
        <v>100</v>
      </c>
      <c r="T48" s="211">
        <v>2</v>
      </c>
      <c r="U48" s="211">
        <f>IF(ISNUMBER(T48),T48*$E$36,0)-IF(ISNUMBER(S48),S48,0)</f>
        <v>160</v>
      </c>
      <c r="V48" s="93" t="s">
        <v>100</v>
      </c>
      <c r="W48" s="144" t="s">
        <v>100</v>
      </c>
      <c r="X48" s="66" t="s">
        <v>100</v>
      </c>
      <c r="Y48" s="212" t="s">
        <v>100</v>
      </c>
      <c r="Z48" s="212">
        <v>2</v>
      </c>
      <c r="AA48" s="212">
        <f>IF(ISNUMBER(Z48),Z48*$G$36,0)-IF(ISNUMBER(Y48),Y48,0)</f>
        <v>80</v>
      </c>
      <c r="AB48" s="84">
        <f>N42</f>
        <v>0</v>
      </c>
      <c r="AC48" s="213" t="s">
        <v>100</v>
      </c>
      <c r="AD48" s="214">
        <f>AD47+IF(ISNUMBER(AC48),AC48*$H$36,0)-IF(ISNUMBER(AB48),AB48,0)</f>
        <v>6</v>
      </c>
      <c r="AE48" s="34"/>
    </row>
    <row r="49" spans="1:31" x14ac:dyDescent="0.25">
      <c r="A49" s="34"/>
      <c r="B49" s="34"/>
      <c r="C49" s="34"/>
      <c r="D49" s="34"/>
      <c r="E49" s="34"/>
      <c r="F49" s="34"/>
      <c r="G49" s="34"/>
      <c r="H49" s="34"/>
      <c r="I49" s="34"/>
      <c r="J49" s="34"/>
      <c r="K49" s="34"/>
      <c r="L49" s="94" t="str">
        <f>O4</f>
        <v>Hideout</v>
      </c>
      <c r="M49" s="217">
        <f>O37*2</f>
        <v>0</v>
      </c>
      <c r="N49" s="218">
        <v>3</v>
      </c>
      <c r="O49" s="218">
        <f>O48+IF(ISNUMBER(N49),N49*$C$36,0)-IF(ISNUMBER(M49),M49,0)</f>
        <v>520</v>
      </c>
      <c r="P49" s="95">
        <f>O38</f>
        <v>0</v>
      </c>
      <c r="Q49" s="219">
        <v>7</v>
      </c>
      <c r="R49" s="75">
        <f>R48+IF(ISNUMBER(Q49),Q49*$D$36,0)-IF(ISNUMBER(P49),P49,0)</f>
        <v>24</v>
      </c>
      <c r="S49" s="220">
        <f>O39</f>
        <v>0</v>
      </c>
      <c r="T49" s="220">
        <v>4</v>
      </c>
      <c r="U49" s="220">
        <f t="shared" ref="U49:U63" si="11">U48+IF(ISNUMBER(T49),T49*$E$36,0)-IF(ISNUMBER(S49),S49,0)</f>
        <v>480</v>
      </c>
      <c r="V49" s="96" t="s">
        <v>100</v>
      </c>
      <c r="W49" s="221" t="s">
        <v>100</v>
      </c>
      <c r="X49" s="79" t="s">
        <v>100</v>
      </c>
      <c r="Y49" s="222" t="s">
        <v>100</v>
      </c>
      <c r="Z49" s="222" t="s">
        <v>100</v>
      </c>
      <c r="AA49" s="222">
        <f>AA48+IF(ISNUMBER(Z49),Z49*$G$36,0)-IF(ISNUMBER(Y49),Y49,0)</f>
        <v>80</v>
      </c>
      <c r="AB49" s="136">
        <f>O42</f>
        <v>0</v>
      </c>
      <c r="AC49" s="223">
        <v>2</v>
      </c>
      <c r="AD49" s="224">
        <f t="shared" ref="AD49:AD63" si="12">AD48+IF(ISNUMBER(AC49),AC49*$H$36,0)-IF(ISNUMBER(AB49),AB49,0)</f>
        <v>10</v>
      </c>
      <c r="AE49" s="34"/>
    </row>
    <row r="50" spans="1:31" x14ac:dyDescent="0.25">
      <c r="A50" s="34"/>
      <c r="B50" s="34"/>
      <c r="C50" s="34"/>
      <c r="D50" s="34"/>
      <c r="E50" s="34"/>
      <c r="F50" s="34"/>
      <c r="G50" s="34"/>
      <c r="H50" s="34"/>
      <c r="I50" s="34"/>
      <c r="J50" s="34"/>
      <c r="K50" s="34"/>
      <c r="L50" s="92" t="str">
        <f>P4</f>
        <v>Opera</v>
      </c>
      <c r="M50" s="208">
        <f>P37*2</f>
        <v>0</v>
      </c>
      <c r="N50" s="209">
        <v>4</v>
      </c>
      <c r="O50" s="209">
        <f t="shared" ref="O50:O63" si="13">O49+IF(ISNUMBER(N50),N50*$C$36,0)-IF(ISNUMBER(M50),M50,0)</f>
        <v>680</v>
      </c>
      <c r="P50" s="118">
        <f>P38</f>
        <v>0</v>
      </c>
      <c r="Q50" s="210">
        <v>5</v>
      </c>
      <c r="R50" s="133">
        <f>R49+IF(ISNUMBER(Q50),Q50*$D$36,0)-IF(ISNUMBER(P50),P50,0)</f>
        <v>34</v>
      </c>
      <c r="S50" s="211">
        <f>P39</f>
        <v>0</v>
      </c>
      <c r="T50" s="211">
        <v>8</v>
      </c>
      <c r="U50" s="211">
        <f t="shared" si="11"/>
        <v>1120</v>
      </c>
      <c r="V50" s="93" t="s">
        <v>100</v>
      </c>
      <c r="W50" s="144" t="s">
        <v>100</v>
      </c>
      <c r="X50" s="66" t="s">
        <v>100</v>
      </c>
      <c r="Y50" s="212" t="s">
        <v>100</v>
      </c>
      <c r="Z50" s="212" t="s">
        <v>100</v>
      </c>
      <c r="AA50" s="212">
        <f t="shared" ref="AA50:AA53" si="14">AA49+IF(ISNUMBER(Z50),Z50*$G$36,0)-IF(ISNUMBER(Y50),Y50,0)</f>
        <v>80</v>
      </c>
      <c r="AB50" s="84">
        <f>P42</f>
        <v>0</v>
      </c>
      <c r="AC50" s="213">
        <v>3</v>
      </c>
      <c r="AD50" s="214">
        <f t="shared" si="12"/>
        <v>16</v>
      </c>
      <c r="AE50" s="34"/>
    </row>
    <row r="51" spans="1:31" x14ac:dyDescent="0.25">
      <c r="A51" s="34"/>
      <c r="B51" s="34"/>
      <c r="C51" s="34"/>
      <c r="D51" s="34"/>
      <c r="E51" s="34"/>
      <c r="F51" s="34"/>
      <c r="G51" s="34"/>
      <c r="H51" s="34"/>
      <c r="I51" s="34"/>
      <c r="J51" s="34"/>
      <c r="K51" s="34"/>
      <c r="L51" s="94" t="str">
        <f>Q4</f>
        <v>Offshore</v>
      </c>
      <c r="M51" s="217">
        <f>Q37*2</f>
        <v>0</v>
      </c>
      <c r="N51" s="218">
        <v>4</v>
      </c>
      <c r="O51" s="218">
        <f t="shared" si="13"/>
        <v>840</v>
      </c>
      <c r="P51" s="95">
        <f>Q38</f>
        <v>0</v>
      </c>
      <c r="Q51" s="219">
        <v>4</v>
      </c>
      <c r="R51" s="75">
        <f t="shared" ref="R51:R63" si="15">R50+IF(ISNUMBER(Q51),Q51*$D$36,0)-IF(ISNUMBER(P51),P51,0)</f>
        <v>42</v>
      </c>
      <c r="S51" s="220">
        <f>Q39</f>
        <v>0</v>
      </c>
      <c r="T51" s="220">
        <v>4</v>
      </c>
      <c r="U51" s="220">
        <f t="shared" si="11"/>
        <v>1440</v>
      </c>
      <c r="V51" s="96">
        <f>Q40</f>
        <v>0</v>
      </c>
      <c r="W51" s="221">
        <v>4</v>
      </c>
      <c r="X51" s="79">
        <f>IF(ISNUMBER(W51),W51*$F$36,0)-IF(ISNUMBER(V51),V51,0)</f>
        <v>12</v>
      </c>
      <c r="Y51" s="222" t="s">
        <v>100</v>
      </c>
      <c r="Z51" s="222" t="s">
        <v>100</v>
      </c>
      <c r="AA51" s="222">
        <f t="shared" si="14"/>
        <v>80</v>
      </c>
      <c r="AB51" s="136" t="s">
        <v>100</v>
      </c>
      <c r="AC51" s="223" t="s">
        <v>100</v>
      </c>
      <c r="AD51" s="224">
        <f t="shared" si="12"/>
        <v>16</v>
      </c>
      <c r="AE51" s="34"/>
    </row>
    <row r="52" spans="1:31" x14ac:dyDescent="0.25">
      <c r="A52" s="34"/>
      <c r="B52" s="34"/>
      <c r="C52" s="34"/>
      <c r="D52" s="34"/>
      <c r="E52" s="34"/>
      <c r="F52" s="34"/>
      <c r="G52" s="34"/>
      <c r="H52" s="34"/>
      <c r="I52" s="34"/>
      <c r="J52" s="34"/>
      <c r="K52" s="34"/>
      <c r="L52" s="92" t="str">
        <f>R4</f>
        <v>Diving</v>
      </c>
      <c r="M52" s="208">
        <f>R37*2</f>
        <v>0</v>
      </c>
      <c r="N52" s="209">
        <v>4</v>
      </c>
      <c r="O52" s="209">
        <f t="shared" si="13"/>
        <v>1000</v>
      </c>
      <c r="P52" s="118">
        <f>R38</f>
        <v>0</v>
      </c>
      <c r="Q52" s="210">
        <v>3</v>
      </c>
      <c r="R52" s="133">
        <f t="shared" si="15"/>
        <v>48</v>
      </c>
      <c r="S52" s="211">
        <f>R39</f>
        <v>0</v>
      </c>
      <c r="T52" s="211">
        <v>8</v>
      </c>
      <c r="U52" s="211">
        <f t="shared" si="11"/>
        <v>2080</v>
      </c>
      <c r="V52" s="93">
        <f>R40</f>
        <v>0</v>
      </c>
      <c r="W52" s="144">
        <v>4</v>
      </c>
      <c r="X52" s="66">
        <f>X51+IF(ISNUMBER(W52),W52*$F$36,0)-IF(ISNUMBER(V52),V52,0)</f>
        <v>24</v>
      </c>
      <c r="Y52" s="212">
        <f>R41</f>
        <v>0</v>
      </c>
      <c r="Z52" s="212">
        <v>4</v>
      </c>
      <c r="AA52" s="212">
        <f t="shared" si="14"/>
        <v>240</v>
      </c>
      <c r="AB52" s="84" t="s">
        <v>100</v>
      </c>
      <c r="AC52" s="213">
        <v>2</v>
      </c>
      <c r="AD52" s="214">
        <f t="shared" si="12"/>
        <v>20</v>
      </c>
      <c r="AE52" s="34"/>
    </row>
    <row r="53" spans="1:31" x14ac:dyDescent="0.25">
      <c r="A53" s="34"/>
      <c r="B53" s="34"/>
      <c r="C53" s="34"/>
      <c r="D53" s="34"/>
      <c r="E53" s="34"/>
      <c r="F53" s="34"/>
      <c r="G53" s="34"/>
      <c r="H53" s="34"/>
      <c r="I53" s="34"/>
      <c r="J53" s="34"/>
      <c r="K53" s="34"/>
      <c r="L53" s="94" t="str">
        <f>S4</f>
        <v>Fathoms</v>
      </c>
      <c r="M53" s="217">
        <f>S37*2</f>
        <v>0</v>
      </c>
      <c r="N53" s="218" t="s">
        <v>100</v>
      </c>
      <c r="O53" s="218">
        <f t="shared" si="13"/>
        <v>1000</v>
      </c>
      <c r="P53" s="95">
        <f>S38</f>
        <v>0</v>
      </c>
      <c r="Q53" s="219">
        <v>2</v>
      </c>
      <c r="R53" s="75">
        <f t="shared" si="15"/>
        <v>52</v>
      </c>
      <c r="S53" s="220">
        <f>S39</f>
        <v>0</v>
      </c>
      <c r="T53" s="250" t="s">
        <v>100</v>
      </c>
      <c r="U53" s="220">
        <f t="shared" si="11"/>
        <v>2080</v>
      </c>
      <c r="V53" s="96">
        <f>S40</f>
        <v>0</v>
      </c>
      <c r="W53" s="221">
        <v>7</v>
      </c>
      <c r="X53" s="79">
        <f>X52+IF(ISNUMBER(W53),W53*$F$36,0)-IF(ISNUMBER(V53),V53,0)</f>
        <v>45</v>
      </c>
      <c r="Y53" s="222">
        <f>S41</f>
        <v>0</v>
      </c>
      <c r="Z53" s="222" t="s">
        <v>100</v>
      </c>
      <c r="AA53" s="222">
        <f t="shared" si="14"/>
        <v>240</v>
      </c>
      <c r="AB53" s="136" t="s">
        <v>100</v>
      </c>
      <c r="AC53" s="223" t="s">
        <v>100</v>
      </c>
      <c r="AD53" s="224">
        <f t="shared" si="12"/>
        <v>20</v>
      </c>
      <c r="AE53" s="34"/>
    </row>
    <row r="54" spans="1:31" x14ac:dyDescent="0.25">
      <c r="A54" s="34"/>
      <c r="B54" s="34"/>
      <c r="C54" s="34"/>
      <c r="D54" s="34"/>
      <c r="E54" s="34"/>
      <c r="F54" s="34"/>
      <c r="G54" s="34"/>
      <c r="H54" s="34"/>
      <c r="I54" s="34"/>
      <c r="J54" s="34"/>
      <c r="K54" s="34"/>
      <c r="L54" s="92" t="str">
        <f>T4</f>
        <v>Maria Doria</v>
      </c>
      <c r="M54" s="208">
        <f>T37*2</f>
        <v>0</v>
      </c>
      <c r="N54" s="209">
        <v>4</v>
      </c>
      <c r="O54" s="209">
        <f t="shared" si="13"/>
        <v>1160</v>
      </c>
      <c r="P54" s="118">
        <f>T38</f>
        <v>0</v>
      </c>
      <c r="Q54" s="210">
        <v>2</v>
      </c>
      <c r="R54" s="133">
        <f t="shared" si="15"/>
        <v>56</v>
      </c>
      <c r="S54" s="211">
        <f>T39</f>
        <v>0</v>
      </c>
      <c r="T54" s="211">
        <v>2</v>
      </c>
      <c r="U54" s="211">
        <f t="shared" si="11"/>
        <v>2240</v>
      </c>
      <c r="V54" s="93">
        <f>T40</f>
        <v>0</v>
      </c>
      <c r="W54" s="144">
        <v>6</v>
      </c>
      <c r="X54" s="66">
        <f>X53+IF(ISNUMBER(W54),W54*$F$36,0)-IF(ISNUMBER(V54),V54,0)</f>
        <v>63</v>
      </c>
      <c r="Y54" s="212">
        <f>T41</f>
        <v>0</v>
      </c>
      <c r="Z54" s="212">
        <v>4</v>
      </c>
      <c r="AA54" s="212">
        <f>AA53+IF(ISNUMBER(Z54),Z54*$G$36,0)-IF(ISNUMBER(Y54),Y54,0)</f>
        <v>400</v>
      </c>
      <c r="AB54" s="84">
        <f>T42</f>
        <v>0</v>
      </c>
      <c r="AC54" s="213">
        <v>3</v>
      </c>
      <c r="AD54" s="214">
        <f>AD53+IF(ISNUMBER(AC54),AC54*$H$36,0)-IF(ISNUMBER(AB54),AB54,0)</f>
        <v>26</v>
      </c>
      <c r="AE54" s="34"/>
    </row>
    <row r="55" spans="1:31" x14ac:dyDescent="0.25">
      <c r="A55" s="34"/>
      <c r="B55" s="34"/>
      <c r="C55" s="34"/>
      <c r="D55" s="34"/>
      <c r="E55" s="34"/>
      <c r="F55" s="34"/>
      <c r="G55" s="34"/>
      <c r="H55" s="34"/>
      <c r="I55" s="34"/>
      <c r="J55" s="34"/>
      <c r="K55" s="34"/>
      <c r="L55" s="94" t="str">
        <f>U4</f>
        <v>Living</v>
      </c>
      <c r="M55" s="217">
        <f>U37*2</f>
        <v>0</v>
      </c>
      <c r="N55" s="218">
        <v>2</v>
      </c>
      <c r="O55" s="218">
        <f t="shared" si="13"/>
        <v>1240</v>
      </c>
      <c r="P55" s="95">
        <f>U38</f>
        <v>0</v>
      </c>
      <c r="Q55" s="219">
        <v>3</v>
      </c>
      <c r="R55" s="75">
        <f t="shared" si="15"/>
        <v>62</v>
      </c>
      <c r="S55" s="220">
        <f>U39</f>
        <v>0</v>
      </c>
      <c r="T55" s="220">
        <v>1</v>
      </c>
      <c r="U55" s="220">
        <f t="shared" si="11"/>
        <v>2320</v>
      </c>
      <c r="V55" s="96">
        <f>U40</f>
        <v>0</v>
      </c>
      <c r="W55" s="221">
        <v>1</v>
      </c>
      <c r="X55" s="79">
        <f t="shared" ref="X55:X63" si="16">X54+IF(ISNUMBER(W55),W55*$F$36,0)-IF(ISNUMBER(V55),V55,0)</f>
        <v>66</v>
      </c>
      <c r="Y55" s="222">
        <f>U41</f>
        <v>0</v>
      </c>
      <c r="Z55" s="222">
        <v>4</v>
      </c>
      <c r="AA55" s="222">
        <f>AA54+IF(ISNUMBER(Z55),Z55*$G$36,0)-IF(ISNUMBER(Y55),Y55,0)</f>
        <v>560</v>
      </c>
      <c r="AB55" s="136">
        <f>U42</f>
        <v>0</v>
      </c>
      <c r="AC55" s="223" t="s">
        <v>117</v>
      </c>
      <c r="AD55" s="224">
        <f t="shared" si="12"/>
        <v>26</v>
      </c>
      <c r="AE55" s="34"/>
    </row>
    <row r="56" spans="1:31" x14ac:dyDescent="0.25">
      <c r="A56" s="34"/>
      <c r="B56" s="34"/>
      <c r="C56" s="34"/>
      <c r="D56" s="34"/>
      <c r="E56" s="34"/>
      <c r="F56" s="34"/>
      <c r="G56" s="34"/>
      <c r="H56" s="34"/>
      <c r="I56" s="34"/>
      <c r="J56" s="34"/>
      <c r="K56" s="34"/>
      <c r="L56" s="92" t="str">
        <f>V4</f>
        <v>The Deck</v>
      </c>
      <c r="M56" s="208">
        <f>V37*2</f>
        <v>0</v>
      </c>
      <c r="N56" s="209">
        <v>4</v>
      </c>
      <c r="O56" s="209">
        <f t="shared" si="13"/>
        <v>1400</v>
      </c>
      <c r="P56" s="118">
        <f>V38</f>
        <v>0</v>
      </c>
      <c r="Q56" s="210">
        <v>2</v>
      </c>
      <c r="R56" s="133">
        <f t="shared" si="15"/>
        <v>66</v>
      </c>
      <c r="S56" s="211">
        <f>V39</f>
        <v>0</v>
      </c>
      <c r="T56" s="211">
        <v>3</v>
      </c>
      <c r="U56" s="211">
        <f t="shared" si="11"/>
        <v>2560</v>
      </c>
      <c r="V56" s="93">
        <f>V40</f>
        <v>0</v>
      </c>
      <c r="W56" s="144">
        <v>2</v>
      </c>
      <c r="X56" s="66">
        <f t="shared" si="16"/>
        <v>72</v>
      </c>
      <c r="Y56" s="212">
        <f>V41</f>
        <v>0</v>
      </c>
      <c r="Z56" s="212">
        <v>4</v>
      </c>
      <c r="AA56" s="212">
        <f t="shared" ref="AA56:AA57" si="17">AA55+IF(ISNUMBER(Z56),Z56*$G$36,0)-IF(ISNUMBER(Y56),Y56,0)</f>
        <v>720</v>
      </c>
      <c r="AB56" s="84">
        <f>V42</f>
        <v>0</v>
      </c>
      <c r="AC56" s="213">
        <v>8</v>
      </c>
      <c r="AD56" s="214">
        <f>AD55+IF(ISNUMBER(AC56),AC56*$H$36,0)-IF(ISNUMBER(AB56),AB56,0)</f>
        <v>42</v>
      </c>
      <c r="AE56" s="34"/>
    </row>
    <row r="57" spans="1:31" x14ac:dyDescent="0.25">
      <c r="A57" s="34"/>
      <c r="B57" s="34"/>
      <c r="C57" s="34"/>
      <c r="D57" s="34"/>
      <c r="E57" s="34"/>
      <c r="F57" s="34"/>
      <c r="G57" s="34"/>
      <c r="H57" s="34"/>
      <c r="I57" s="34"/>
      <c r="J57" s="34"/>
      <c r="K57" s="34"/>
      <c r="L57" s="94" t="str">
        <f>W4</f>
        <v>Foothills</v>
      </c>
      <c r="M57" s="217">
        <f>W37*2</f>
        <v>0</v>
      </c>
      <c r="N57" s="218">
        <v>5</v>
      </c>
      <c r="O57" s="218">
        <f t="shared" si="13"/>
        <v>1600</v>
      </c>
      <c r="P57" s="95">
        <f>W38</f>
        <v>0</v>
      </c>
      <c r="Q57" s="219">
        <v>1</v>
      </c>
      <c r="R57" s="75">
        <f t="shared" si="15"/>
        <v>68</v>
      </c>
      <c r="S57" s="220">
        <f>W39</f>
        <v>0</v>
      </c>
      <c r="T57" s="220">
        <v>7</v>
      </c>
      <c r="U57" s="220">
        <f t="shared" si="11"/>
        <v>3120</v>
      </c>
      <c r="V57" s="96">
        <f>W40</f>
        <v>0</v>
      </c>
      <c r="W57" s="221" t="s">
        <v>100</v>
      </c>
      <c r="X57" s="79">
        <f t="shared" si="16"/>
        <v>72</v>
      </c>
      <c r="Y57" s="222">
        <f>W41</f>
        <v>0</v>
      </c>
      <c r="Z57" s="222">
        <v>3</v>
      </c>
      <c r="AA57" s="222">
        <f t="shared" si="17"/>
        <v>840</v>
      </c>
      <c r="AB57" s="136">
        <f>W42</f>
        <v>0</v>
      </c>
      <c r="AC57" s="223">
        <v>4</v>
      </c>
      <c r="AD57" s="224">
        <f t="shared" si="12"/>
        <v>50</v>
      </c>
      <c r="AE57" s="34"/>
    </row>
    <row r="58" spans="1:31" x14ac:dyDescent="0.25">
      <c r="A58" s="34"/>
      <c r="B58" s="34"/>
      <c r="C58" s="34"/>
      <c r="D58" s="34"/>
      <c r="E58" s="34"/>
      <c r="F58" s="34"/>
      <c r="G58" s="34"/>
      <c r="H58" s="34"/>
      <c r="I58" s="34"/>
      <c r="J58" s="34"/>
      <c r="K58" s="34"/>
      <c r="L58" s="92" t="str">
        <f>X4</f>
        <v>Barkhang</v>
      </c>
      <c r="M58" s="208">
        <f>X37*2</f>
        <v>0</v>
      </c>
      <c r="N58" s="209">
        <v>4</v>
      </c>
      <c r="O58" s="209">
        <f t="shared" si="13"/>
        <v>1760</v>
      </c>
      <c r="P58" s="118">
        <f>X38</f>
        <v>0</v>
      </c>
      <c r="Q58" s="210">
        <v>2</v>
      </c>
      <c r="R58" s="133">
        <f t="shared" si="15"/>
        <v>72</v>
      </c>
      <c r="S58" s="211">
        <f>X39</f>
        <v>0</v>
      </c>
      <c r="T58" s="211">
        <v>5</v>
      </c>
      <c r="U58" s="211">
        <f t="shared" si="11"/>
        <v>3520</v>
      </c>
      <c r="V58" s="93">
        <f>X40</f>
        <v>0</v>
      </c>
      <c r="W58" s="144">
        <v>2</v>
      </c>
      <c r="X58" s="66">
        <f t="shared" si="16"/>
        <v>78</v>
      </c>
      <c r="Y58" s="212">
        <f>X41</f>
        <v>0</v>
      </c>
      <c r="Z58" s="212">
        <v>6</v>
      </c>
      <c r="AA58" s="212">
        <f>AA57+IF(ISNUMBER(Z58),Z58*$G$36,0)-IF(ISNUMBER(Y58),Y58,0)</f>
        <v>1080</v>
      </c>
      <c r="AB58" s="84">
        <f>X42</f>
        <v>0</v>
      </c>
      <c r="AC58" s="213">
        <v>2</v>
      </c>
      <c r="AD58" s="214">
        <f t="shared" si="12"/>
        <v>54</v>
      </c>
      <c r="AE58" s="34"/>
    </row>
    <row r="59" spans="1:31" x14ac:dyDescent="0.25">
      <c r="A59" s="34"/>
      <c r="B59" s="34"/>
      <c r="C59" s="34"/>
      <c r="D59" s="34"/>
      <c r="E59" s="34"/>
      <c r="F59" s="34"/>
      <c r="G59" s="34"/>
      <c r="H59" s="34"/>
      <c r="I59" s="34"/>
      <c r="J59" s="34"/>
      <c r="K59" s="34"/>
      <c r="L59" s="94" t="str">
        <f>Y4</f>
        <v>Catacombs</v>
      </c>
      <c r="M59" s="217">
        <f>Y37*2</f>
        <v>0</v>
      </c>
      <c r="N59" s="218">
        <v>5</v>
      </c>
      <c r="O59" s="218">
        <f t="shared" si="13"/>
        <v>1960</v>
      </c>
      <c r="P59" s="95">
        <f>Y38</f>
        <v>0</v>
      </c>
      <c r="Q59" s="219">
        <v>2</v>
      </c>
      <c r="R59" s="75">
        <f t="shared" si="15"/>
        <v>76</v>
      </c>
      <c r="S59" s="220">
        <f>Y39</f>
        <v>0</v>
      </c>
      <c r="T59" s="220">
        <v>6</v>
      </c>
      <c r="U59" s="220">
        <f t="shared" si="11"/>
        <v>4000</v>
      </c>
      <c r="V59" s="96">
        <f>Y40</f>
        <v>0</v>
      </c>
      <c r="W59" s="221" t="s">
        <v>100</v>
      </c>
      <c r="X59" s="79">
        <f t="shared" si="16"/>
        <v>78</v>
      </c>
      <c r="Y59" s="222">
        <f>Y41</f>
        <v>0</v>
      </c>
      <c r="Z59" s="222">
        <v>5</v>
      </c>
      <c r="AA59" s="222">
        <f>AA58+IF(ISNUMBER(Z59),Z59*$G$36,0)-IF(ISNUMBER(Y59),Y59,0)</f>
        <v>1280</v>
      </c>
      <c r="AB59" s="136">
        <f>Y42</f>
        <v>0</v>
      </c>
      <c r="AC59" s="223">
        <v>8</v>
      </c>
      <c r="AD59" s="224">
        <f>AD58+IF(ISNUMBER(AC59),AC59*$H$36,0)-IF(ISNUMBER(AB59),AB59,0)</f>
        <v>70</v>
      </c>
      <c r="AE59" s="34"/>
    </row>
    <row r="60" spans="1:31" x14ac:dyDescent="0.25">
      <c r="A60" s="34"/>
      <c r="B60" s="34"/>
      <c r="C60" s="34"/>
      <c r="D60" s="34"/>
      <c r="E60" s="34"/>
      <c r="F60" s="34"/>
      <c r="G60" s="34"/>
      <c r="H60" s="34"/>
      <c r="I60" s="34"/>
      <c r="J60" s="34"/>
      <c r="K60" s="34"/>
      <c r="L60" s="92" t="str">
        <f>Z4</f>
        <v>Ice Palace</v>
      </c>
      <c r="M60" s="208">
        <f>Z37*2</f>
        <v>0</v>
      </c>
      <c r="N60" s="209">
        <v>2</v>
      </c>
      <c r="O60" s="209">
        <f t="shared" si="13"/>
        <v>2040</v>
      </c>
      <c r="P60" s="118">
        <f>Z38</f>
        <v>0</v>
      </c>
      <c r="Q60" s="210">
        <v>2</v>
      </c>
      <c r="R60" s="133">
        <f t="shared" si="15"/>
        <v>80</v>
      </c>
      <c r="S60" s="211">
        <f>Z39</f>
        <v>0</v>
      </c>
      <c r="T60" s="211">
        <v>6</v>
      </c>
      <c r="U60" s="211">
        <f t="shared" si="11"/>
        <v>4480</v>
      </c>
      <c r="V60" s="93">
        <f>Z40</f>
        <v>0</v>
      </c>
      <c r="W60" s="144" t="s">
        <v>100</v>
      </c>
      <c r="X60" s="66">
        <f t="shared" si="16"/>
        <v>78</v>
      </c>
      <c r="Y60" s="212">
        <f>Z41</f>
        <v>0</v>
      </c>
      <c r="Z60" s="212" t="s">
        <v>100</v>
      </c>
      <c r="AA60" s="212">
        <f t="shared" ref="AA60:AA63" si="18">AA59+IF(ISNUMBER(Z60),Z60*$G$36,0)-IF(ISNUMBER(Y60),Y60,0)</f>
        <v>1280</v>
      </c>
      <c r="AB60" s="84">
        <f>Z42</f>
        <v>0</v>
      </c>
      <c r="AC60" s="213">
        <v>8</v>
      </c>
      <c r="AD60" s="214">
        <f>AD59+IF(ISNUMBER(AC60),AC60*$H$36,0)-IF(ISNUMBER(AB60),AB60,0)</f>
        <v>86</v>
      </c>
      <c r="AE60" s="34"/>
    </row>
    <row r="61" spans="1:31" x14ac:dyDescent="0.25">
      <c r="A61" s="34"/>
      <c r="B61" s="34"/>
      <c r="C61" s="34"/>
      <c r="D61" s="34"/>
      <c r="E61" s="34"/>
      <c r="F61" s="34"/>
      <c r="G61" s="34"/>
      <c r="H61" s="34"/>
      <c r="I61" s="34"/>
      <c r="J61" s="34"/>
      <c r="K61" s="34"/>
      <c r="L61" s="94" t="str">
        <f>AA4</f>
        <v>Xian</v>
      </c>
      <c r="M61" s="217">
        <f>AA37*2</f>
        <v>0</v>
      </c>
      <c r="N61" s="218">
        <v>4</v>
      </c>
      <c r="O61" s="218">
        <f t="shared" si="13"/>
        <v>2200</v>
      </c>
      <c r="P61" s="95">
        <f>AA38</f>
        <v>0</v>
      </c>
      <c r="Q61" s="219">
        <v>4</v>
      </c>
      <c r="R61" s="75">
        <f t="shared" si="15"/>
        <v>88</v>
      </c>
      <c r="S61" s="220">
        <f>AA39</f>
        <v>0</v>
      </c>
      <c r="T61" s="220">
        <v>12</v>
      </c>
      <c r="U61" s="220">
        <f t="shared" si="11"/>
        <v>5440</v>
      </c>
      <c r="V61" s="96">
        <f>AA40</f>
        <v>0</v>
      </c>
      <c r="W61" s="221" t="s">
        <v>100</v>
      </c>
      <c r="X61" s="79">
        <f t="shared" si="16"/>
        <v>78</v>
      </c>
      <c r="Y61" s="222">
        <f>AA41</f>
        <v>0</v>
      </c>
      <c r="Z61" s="222">
        <v>2</v>
      </c>
      <c r="AA61" s="222">
        <f t="shared" si="18"/>
        <v>1360</v>
      </c>
      <c r="AB61" s="136">
        <f>AA42</f>
        <v>0</v>
      </c>
      <c r="AC61" s="223">
        <v>2</v>
      </c>
      <c r="AD61" s="224">
        <f t="shared" si="12"/>
        <v>90</v>
      </c>
      <c r="AE61" s="34"/>
    </row>
    <row r="62" spans="1:31" x14ac:dyDescent="0.25">
      <c r="A62" s="34"/>
      <c r="B62" s="34"/>
      <c r="C62" s="34"/>
      <c r="D62" s="34"/>
      <c r="E62" s="34"/>
      <c r="F62" s="34"/>
      <c r="G62" s="34"/>
      <c r="H62" s="34"/>
      <c r="I62" s="34"/>
      <c r="J62" s="34"/>
      <c r="K62" s="34"/>
      <c r="L62" s="92" t="str">
        <f>AB4</f>
        <v>Floating</v>
      </c>
      <c r="M62" s="208">
        <f>AB37*2</f>
        <v>0</v>
      </c>
      <c r="N62" s="209">
        <v>3</v>
      </c>
      <c r="O62" s="209">
        <f t="shared" si="13"/>
        <v>2320</v>
      </c>
      <c r="P62" s="118">
        <f>AB38</f>
        <v>0</v>
      </c>
      <c r="Q62" s="210">
        <v>5</v>
      </c>
      <c r="R62" s="133">
        <f t="shared" si="15"/>
        <v>98</v>
      </c>
      <c r="S62" s="211">
        <f>AB39</f>
        <v>0</v>
      </c>
      <c r="T62" s="211">
        <v>7</v>
      </c>
      <c r="U62" s="211">
        <f t="shared" si="11"/>
        <v>6000</v>
      </c>
      <c r="V62" s="93">
        <f>AB40</f>
        <v>0</v>
      </c>
      <c r="W62" s="144" t="s">
        <v>100</v>
      </c>
      <c r="X62" s="66">
        <f t="shared" si="16"/>
        <v>78</v>
      </c>
      <c r="Y62" s="212">
        <f>AB41</f>
        <v>0</v>
      </c>
      <c r="Z62" s="212">
        <v>2</v>
      </c>
      <c r="AA62" s="212">
        <f t="shared" si="18"/>
        <v>1440</v>
      </c>
      <c r="AB62" s="84">
        <f>AB42</f>
        <v>0</v>
      </c>
      <c r="AC62" s="213">
        <v>10</v>
      </c>
      <c r="AD62" s="214">
        <f>AD61+IF(ISNUMBER(AC62),AC62*$H$36,0)-IF(ISNUMBER(AB62),AB62,0)+IF(AB$34="Yes",16,0)</f>
        <v>110</v>
      </c>
      <c r="AE62" s="34"/>
    </row>
    <row r="63" spans="1:31" x14ac:dyDescent="0.25">
      <c r="A63" s="34"/>
      <c r="B63" s="34"/>
      <c r="C63" s="34"/>
      <c r="D63" s="34"/>
      <c r="E63" s="34"/>
      <c r="F63" s="34"/>
      <c r="G63" s="34"/>
      <c r="H63" s="34"/>
      <c r="I63" s="34"/>
      <c r="J63" s="34"/>
      <c r="K63" s="34"/>
      <c r="L63" s="94" t="str">
        <f>AC4</f>
        <v>Dragon</v>
      </c>
      <c r="M63" s="217">
        <f>AC37*2</f>
        <v>0</v>
      </c>
      <c r="N63" s="218" t="s">
        <v>100</v>
      </c>
      <c r="O63" s="218">
        <f t="shared" si="13"/>
        <v>2320</v>
      </c>
      <c r="P63" s="95">
        <f>AC38</f>
        <v>0</v>
      </c>
      <c r="Q63" s="219" t="s">
        <v>100</v>
      </c>
      <c r="R63" s="75">
        <f t="shared" si="15"/>
        <v>98</v>
      </c>
      <c r="S63" s="220">
        <f>AC39</f>
        <v>0</v>
      </c>
      <c r="T63" s="220">
        <v>18</v>
      </c>
      <c r="U63" s="220">
        <f t="shared" si="11"/>
        <v>7440</v>
      </c>
      <c r="V63" s="96">
        <f>AC40</f>
        <v>0</v>
      </c>
      <c r="W63" s="221" t="s">
        <v>100</v>
      </c>
      <c r="X63" s="79">
        <f t="shared" si="16"/>
        <v>78</v>
      </c>
      <c r="Y63" s="222">
        <f>AC41</f>
        <v>0</v>
      </c>
      <c r="Z63" s="222" t="s">
        <v>100</v>
      </c>
      <c r="AA63" s="222">
        <f t="shared" si="18"/>
        <v>1440</v>
      </c>
      <c r="AB63" s="136">
        <f>AC42</f>
        <v>10</v>
      </c>
      <c r="AC63" s="223" t="s">
        <v>100</v>
      </c>
      <c r="AD63" s="224">
        <f t="shared" si="12"/>
        <v>100</v>
      </c>
      <c r="AE63" s="34"/>
    </row>
    <row r="64" spans="1:31" x14ac:dyDescent="0.25">
      <c r="A64" s="34"/>
      <c r="B64" s="34"/>
      <c r="C64" s="34"/>
      <c r="D64" s="34"/>
      <c r="E64" s="34"/>
      <c r="F64" s="34"/>
      <c r="G64" s="34"/>
      <c r="H64" s="34"/>
      <c r="I64" s="34"/>
      <c r="J64" s="34"/>
      <c r="K64" s="34"/>
      <c r="L64" s="97" t="str">
        <f>AD4</f>
        <v>Epilogue</v>
      </c>
      <c r="M64" s="225" t="str">
        <f>AD37</f>
        <v>--</v>
      </c>
      <c r="N64" s="226" t="s">
        <v>100</v>
      </c>
      <c r="O64" s="227" t="s">
        <v>100</v>
      </c>
      <c r="P64" s="228">
        <v>35</v>
      </c>
      <c r="Q64" s="228">
        <v>39</v>
      </c>
      <c r="R64" s="228">
        <f>Q64*$D$36-P64</f>
        <v>43</v>
      </c>
      <c r="S64" s="229" t="s">
        <v>100</v>
      </c>
      <c r="T64" s="230" t="s">
        <v>100</v>
      </c>
      <c r="U64" s="230" t="s">
        <v>100</v>
      </c>
      <c r="V64" s="231" t="s">
        <v>100</v>
      </c>
      <c r="W64" s="232" t="s">
        <v>100</v>
      </c>
      <c r="X64" s="233" t="s">
        <v>100</v>
      </c>
      <c r="Y64" s="234" t="s">
        <v>100</v>
      </c>
      <c r="Z64" s="234" t="s">
        <v>100</v>
      </c>
      <c r="AA64" s="234" t="s">
        <v>100</v>
      </c>
      <c r="AB64" s="235" t="s">
        <v>100</v>
      </c>
      <c r="AC64" s="236" t="s">
        <v>100</v>
      </c>
      <c r="AD64" s="237" t="s">
        <v>100</v>
      </c>
      <c r="AE64" s="34"/>
    </row>
    <row r="65" spans="1:31" ht="15" customHeight="1" x14ac:dyDescent="0.25">
      <c r="A65" s="34"/>
      <c r="B65" s="34"/>
      <c r="C65" s="34"/>
      <c r="D65" s="34"/>
      <c r="E65" s="34"/>
      <c r="F65" s="34"/>
      <c r="G65" s="34"/>
      <c r="H65" s="34"/>
      <c r="I65" s="34"/>
      <c r="J65" s="34"/>
      <c r="K65" s="34"/>
      <c r="L65" s="157" t="s">
        <v>136</v>
      </c>
      <c r="M65" s="158">
        <f>SUM(M48:M63)</f>
        <v>0</v>
      </c>
      <c r="N65" s="158">
        <f>SUM(N51:N63)*$C$36</f>
        <v>1640</v>
      </c>
      <c r="O65" s="158" t="s">
        <v>100</v>
      </c>
      <c r="P65" s="158">
        <f>SUM(P47:P64)</f>
        <v>35</v>
      </c>
      <c r="Q65" s="158">
        <f>SUM(Q51:Q63)*$D$36</f>
        <v>64</v>
      </c>
      <c r="R65" s="158" t="s">
        <v>100</v>
      </c>
      <c r="S65" s="158">
        <f>SUM(S49:S63)</f>
        <v>0</v>
      </c>
      <c r="T65" s="158">
        <f>SUM(T51:T63)*$E$36</f>
        <v>6320</v>
      </c>
      <c r="U65" s="158" t="s">
        <v>100</v>
      </c>
      <c r="V65" s="158">
        <f>SUM(V51:V63)</f>
        <v>0</v>
      </c>
      <c r="W65" s="158">
        <f>SUM(W51:W63)*$F$36</f>
        <v>78</v>
      </c>
      <c r="X65" s="158" t="s">
        <v>100</v>
      </c>
      <c r="Y65" s="158">
        <f>SUM(Y52:Y63)</f>
        <v>0</v>
      </c>
      <c r="Z65" s="158">
        <f>SUM(Z51:Z63)*$G$36</f>
        <v>1360</v>
      </c>
      <c r="AA65" s="158" t="s">
        <v>100</v>
      </c>
      <c r="AB65" s="158">
        <f>SUM(AB47:AB63)</f>
        <v>10</v>
      </c>
      <c r="AC65" s="158">
        <f>SUM(AC51:AC63)*$H$36</f>
        <v>94</v>
      </c>
      <c r="AD65" s="159" t="s">
        <v>100</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sheetData>
  <mergeCells count="22">
    <mergeCell ref="AB45:AD45"/>
    <mergeCell ref="Y45:AA45"/>
    <mergeCell ref="M45:O45"/>
    <mergeCell ref="L44:L46"/>
    <mergeCell ref="P45:R45"/>
    <mergeCell ref="M44:AD44"/>
    <mergeCell ref="V45:X45"/>
    <mergeCell ref="S45:U45"/>
    <mergeCell ref="B35:B36"/>
    <mergeCell ref="B39:H39"/>
    <mergeCell ref="E3:F3"/>
    <mergeCell ref="M2:AD3"/>
    <mergeCell ref="L2:L4"/>
    <mergeCell ref="B2:B4"/>
    <mergeCell ref="C2:K2"/>
    <mergeCell ref="C3:D3"/>
    <mergeCell ref="M35:AD35"/>
    <mergeCell ref="B42:H48"/>
    <mergeCell ref="B41:H41"/>
    <mergeCell ref="B40:H40"/>
    <mergeCell ref="B38:H38"/>
    <mergeCell ref="B37:H37"/>
  </mergeCells>
  <conditionalFormatting sqref="M5:AD9 M14:AD33 M10:AC13">
    <cfRule type="containsBlanks" dxfId="16" priority="15">
      <formula>LEN(TRIM(M5))=0</formula>
    </cfRule>
  </conditionalFormatting>
  <conditionalFormatting sqref="AD10:AD13">
    <cfRule type="containsBlanks" dxfId="15" priority="14">
      <formula>LEN(TRIM(AD10))=0</formula>
    </cfRule>
  </conditionalFormatting>
  <conditionalFormatting sqref="O47:O63">
    <cfRule type="cellIs" dxfId="14" priority="9" operator="lessThan">
      <formula>0</formula>
    </cfRule>
  </conditionalFormatting>
  <conditionalFormatting sqref="R47:R49 R64">
    <cfRule type="cellIs" dxfId="13" priority="8" operator="lessThan">
      <formula>0</formula>
    </cfRule>
  </conditionalFormatting>
  <conditionalFormatting sqref="R50:R63">
    <cfRule type="cellIs" dxfId="12" priority="7" operator="lessThan">
      <formula>0</formula>
    </cfRule>
  </conditionalFormatting>
  <conditionalFormatting sqref="U48:U63">
    <cfRule type="cellIs" dxfId="11" priority="6" operator="lessThan">
      <formula>0</formula>
    </cfRule>
  </conditionalFormatting>
  <conditionalFormatting sqref="X51:X63">
    <cfRule type="cellIs" dxfId="10" priority="5" operator="lessThan">
      <formula>0</formula>
    </cfRule>
  </conditionalFormatting>
  <conditionalFormatting sqref="AA48:AA49">
    <cfRule type="cellIs" dxfId="9" priority="4" operator="lessThan">
      <formula>0</formula>
    </cfRule>
  </conditionalFormatting>
  <conditionalFormatting sqref="AA50:AA63">
    <cfRule type="cellIs" dxfId="8" priority="3" operator="lessThan">
      <formula>0</formula>
    </cfRule>
  </conditionalFormatting>
  <conditionalFormatting sqref="AD47:AD49">
    <cfRule type="cellIs" dxfId="7" priority="2" operator="lessThan">
      <formula>0</formula>
    </cfRule>
  </conditionalFormatting>
  <conditionalFormatting sqref="AD50:AD63">
    <cfRule type="cellIs" dxfId="6" priority="1" operator="lessThan">
      <formula>0</formula>
    </cfRule>
  </conditionalFormatting>
  <dataValidations count="4">
    <dataValidation type="decimal" operator="equal" allowBlank="1" showDropDown="1" showErrorMessage="1" sqref="AD10:AD11" xr:uid="{00000000-0002-0000-0500-000000000000}">
      <formula1>4</formula1>
    </dataValidation>
    <dataValidation type="decimal" operator="equal" allowBlank="1" showDropDown="1" showErrorMessage="1" sqref="AD12" xr:uid="{00000000-0002-0000-0500-000001000000}">
      <formula1>7</formula1>
    </dataValidation>
    <dataValidation type="decimal" operator="equal" allowBlank="1" showDropDown="1" showErrorMessage="1" sqref="AD13" xr:uid="{00000000-0002-0000-0500-000002000000}">
      <formula1>1</formula1>
    </dataValidation>
    <dataValidation type="list" allowBlank="1" showInputMessage="1" showErrorMessage="1" sqref="J45 J39 J36 J42" xr:uid="{00000000-0002-0000-0500-000003000000}">
      <formula1>"Yes,No"</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09">
    <outlinePr summaryBelow="0" summaryRight="0"/>
  </sheetPr>
  <dimension ref="A1:AE66"/>
  <sheetViews>
    <sheetView showGridLines="0" zoomScale="85" zoomScaleNormal="85" workbookViewId="0"/>
  </sheetViews>
  <sheetFormatPr defaultColWidth="0" defaultRowHeight="15.75" customHeight="1" zeroHeight="1" x14ac:dyDescent="0.25"/>
  <cols>
    <col min="1" max="1" width="2" style="107" customWidth="1"/>
    <col min="2" max="2" width="18" style="107" customWidth="1"/>
    <col min="3" max="4" width="9.42578125" style="107" customWidth="1"/>
    <col min="5" max="5" width="9.7109375" style="107" customWidth="1"/>
    <col min="6" max="6" width="10.140625" style="107" customWidth="1"/>
    <col min="7" max="7" width="10.5703125" style="107" customWidth="1"/>
    <col min="8" max="8" width="10.7109375" style="107" customWidth="1"/>
    <col min="9" max="9" width="13.85546875" style="107" bestFit="1" customWidth="1"/>
    <col min="10" max="10" width="9.5703125" style="107" customWidth="1"/>
    <col min="11" max="11" width="18.140625" style="107" customWidth="1"/>
    <col min="12" max="12" width="17.85546875" style="107" customWidth="1"/>
    <col min="13" max="13" width="10.7109375" style="107" customWidth="1"/>
    <col min="14" max="14" width="7.42578125" style="107" customWidth="1"/>
    <col min="15" max="15" width="10.85546875" style="107" customWidth="1"/>
    <col min="16" max="16" width="8.7109375" style="107" customWidth="1"/>
    <col min="17" max="17" width="9" style="107" customWidth="1"/>
    <col min="18" max="18" width="10.85546875" style="107" customWidth="1"/>
    <col min="19" max="19" width="9.140625" style="107" customWidth="1"/>
    <col min="20" max="20" width="11.7109375" style="107" customWidth="1"/>
    <col min="21" max="21" width="10.85546875" style="107" customWidth="1"/>
    <col min="22" max="22" width="10" style="107" customWidth="1"/>
    <col min="23" max="23" width="8.7109375" style="107" customWidth="1"/>
    <col min="24" max="24" width="10.85546875" style="107" customWidth="1"/>
    <col min="25" max="25" width="11.42578125" style="107" customWidth="1"/>
    <col min="26" max="26" width="10.7109375" style="107" customWidth="1"/>
    <col min="27" max="27" width="10.85546875" style="107" customWidth="1"/>
    <col min="28" max="28" width="9.28515625" style="107" customWidth="1"/>
    <col min="29" max="29" width="7.85546875" style="107" customWidth="1"/>
    <col min="30" max="30" width="10.85546875" style="107" customWidth="1"/>
    <col min="31" max="31" width="2" style="107" customWidth="1"/>
    <col min="32" max="16384" width="14.42578125" style="107" hidden="1"/>
  </cols>
  <sheetData>
    <row r="1" spans="1:31" ht="10.5" customHeight="1" x14ac:dyDescent="0.25">
      <c r="A1" s="33"/>
      <c r="B1" s="33"/>
      <c r="C1" s="34"/>
      <c r="D1" s="34"/>
      <c r="E1" s="34"/>
      <c r="F1" s="34"/>
      <c r="G1" s="34"/>
      <c r="H1" s="34"/>
      <c r="I1" s="34"/>
      <c r="J1" s="34"/>
      <c r="K1" s="34"/>
      <c r="L1" s="33"/>
      <c r="M1" s="34"/>
      <c r="N1" s="34"/>
      <c r="O1" s="34"/>
      <c r="P1" s="34"/>
      <c r="Q1" s="34"/>
      <c r="R1" s="34"/>
      <c r="S1" s="34"/>
      <c r="T1" s="34"/>
      <c r="U1" s="34"/>
      <c r="V1" s="34"/>
      <c r="W1" s="34"/>
      <c r="X1" s="34"/>
      <c r="Y1" s="34"/>
      <c r="Z1" s="34"/>
      <c r="AA1" s="34"/>
      <c r="AB1" s="34"/>
      <c r="AC1" s="34"/>
      <c r="AD1" s="34"/>
      <c r="AE1" s="34"/>
    </row>
    <row r="2" spans="1:31" x14ac:dyDescent="0.25">
      <c r="A2" s="33"/>
      <c r="B2" s="355" t="s">
        <v>2</v>
      </c>
      <c r="C2" s="354" t="s">
        <v>5</v>
      </c>
      <c r="D2" s="316"/>
      <c r="E2" s="316"/>
      <c r="F2" s="316"/>
      <c r="G2" s="316"/>
      <c r="H2" s="316"/>
      <c r="I2" s="316"/>
      <c r="J2" s="316"/>
      <c r="K2" s="316"/>
      <c r="L2" s="355" t="s">
        <v>2</v>
      </c>
      <c r="M2" s="338" t="s">
        <v>7</v>
      </c>
      <c r="N2" s="316"/>
      <c r="O2" s="316"/>
      <c r="P2" s="316"/>
      <c r="Q2" s="316"/>
      <c r="R2" s="316"/>
      <c r="S2" s="316"/>
      <c r="T2" s="316"/>
      <c r="U2" s="316"/>
      <c r="V2" s="316"/>
      <c r="W2" s="316"/>
      <c r="X2" s="316"/>
      <c r="Y2" s="316"/>
      <c r="Z2" s="316"/>
      <c r="AA2" s="316"/>
      <c r="AB2" s="316"/>
      <c r="AC2" s="316"/>
      <c r="AD2" s="317"/>
      <c r="AE2" s="34"/>
    </row>
    <row r="3" spans="1:31" x14ac:dyDescent="0.25">
      <c r="A3" s="33"/>
      <c r="B3" s="356"/>
      <c r="C3" s="363" t="s">
        <v>13</v>
      </c>
      <c r="D3" s="316"/>
      <c r="E3" s="364" t="s">
        <v>15</v>
      </c>
      <c r="F3" s="317"/>
      <c r="G3" s="35" t="s">
        <v>16</v>
      </c>
      <c r="H3" s="36" t="s">
        <v>155</v>
      </c>
      <c r="I3" s="137" t="s">
        <v>156</v>
      </c>
      <c r="J3" s="37" t="s">
        <v>20</v>
      </c>
      <c r="K3" s="125" t="s">
        <v>22</v>
      </c>
      <c r="L3" s="356"/>
      <c r="M3" s="361"/>
      <c r="N3" s="312"/>
      <c r="O3" s="312"/>
      <c r="P3" s="312"/>
      <c r="Q3" s="312"/>
      <c r="R3" s="312"/>
      <c r="S3" s="312"/>
      <c r="T3" s="312"/>
      <c r="U3" s="312"/>
      <c r="V3" s="312"/>
      <c r="W3" s="312"/>
      <c r="X3" s="312"/>
      <c r="Y3" s="312"/>
      <c r="Z3" s="312"/>
      <c r="AA3" s="312"/>
      <c r="AB3" s="312"/>
      <c r="AC3" s="312"/>
      <c r="AD3" s="310"/>
      <c r="AE3" s="34"/>
    </row>
    <row r="4" spans="1:31" x14ac:dyDescent="0.25">
      <c r="A4" s="33"/>
      <c r="B4" s="357"/>
      <c r="C4" s="111" t="s">
        <v>26</v>
      </c>
      <c r="D4" s="112" t="s">
        <v>27</v>
      </c>
      <c r="E4" s="145" t="s">
        <v>26</v>
      </c>
      <c r="F4" s="38" t="s">
        <v>27</v>
      </c>
      <c r="G4" s="116" t="s">
        <v>30</v>
      </c>
      <c r="H4" s="121" t="s">
        <v>26</v>
      </c>
      <c r="I4" s="39" t="s">
        <v>35</v>
      </c>
      <c r="J4" s="123" t="s">
        <v>26</v>
      </c>
      <c r="K4" s="40" t="s">
        <v>38</v>
      </c>
      <c r="L4" s="357"/>
      <c r="M4" s="41" t="s">
        <v>39</v>
      </c>
      <c r="N4" s="42" t="s">
        <v>40</v>
      </c>
      <c r="O4" s="42" t="s">
        <v>41</v>
      </c>
      <c r="P4" s="42" t="s">
        <v>157</v>
      </c>
      <c r="Q4" s="43" t="s">
        <v>42</v>
      </c>
      <c r="R4" s="43" t="s">
        <v>43</v>
      </c>
      <c r="S4" s="43" t="s">
        <v>44</v>
      </c>
      <c r="T4" s="43" t="s">
        <v>45</v>
      </c>
      <c r="U4" s="43" t="s">
        <v>46</v>
      </c>
      <c r="V4" s="43" t="s">
        <v>47</v>
      </c>
      <c r="W4" s="43" t="s">
        <v>48</v>
      </c>
      <c r="X4" s="43" t="s">
        <v>49</v>
      </c>
      <c r="Y4" s="43" t="s">
        <v>50</v>
      </c>
      <c r="Z4" s="43" t="s">
        <v>51</v>
      </c>
      <c r="AA4" s="43" t="s">
        <v>52</v>
      </c>
      <c r="AB4" s="43" t="s">
        <v>53</v>
      </c>
      <c r="AC4" s="43" t="s">
        <v>54</v>
      </c>
      <c r="AD4" s="44" t="s">
        <v>55</v>
      </c>
      <c r="AE4" s="34"/>
    </row>
    <row r="5" spans="1:31" x14ac:dyDescent="0.25">
      <c r="A5" s="34"/>
      <c r="B5" s="45" t="s">
        <v>56</v>
      </c>
      <c r="C5" s="34">
        <f>20/(IF($J$36="Yes",1,0)+1)*(IF($J$39="Yes",1,0)+1)</f>
        <v>20</v>
      </c>
      <c r="D5" s="34">
        <f>ROUNDUP(C5/2,0)</f>
        <v>10</v>
      </c>
      <c r="E5" s="25">
        <f>ROUNDUP(C5/2,0)</f>
        <v>10</v>
      </c>
      <c r="F5" s="46">
        <f t="shared" ref="F5:F33" si="0">ROUNDUP(E5/2,0)</f>
        <v>5</v>
      </c>
      <c r="G5" s="26">
        <f>ROUNDUP(C5/18,0)</f>
        <v>2</v>
      </c>
      <c r="H5" s="27">
        <f>ROUNDUP(C5,0)</f>
        <v>20</v>
      </c>
      <c r="I5" s="138">
        <f>ROUNDUP(C5/4,0)</f>
        <v>5</v>
      </c>
      <c r="J5" s="28">
        <f>ROUNDUP(H5/3,0)</f>
        <v>7</v>
      </c>
      <c r="K5" s="126">
        <f>ROUNDUP(C5/30,0)</f>
        <v>1</v>
      </c>
      <c r="L5" s="45" t="str">
        <f t="shared" ref="L5:L33" si="1">B5</f>
        <v>Tiger</v>
      </c>
      <c r="M5" s="98">
        <v>5</v>
      </c>
      <c r="N5" s="34"/>
      <c r="O5" s="34"/>
      <c r="P5" s="34"/>
      <c r="Q5" s="34"/>
      <c r="R5" s="34"/>
      <c r="S5" s="34"/>
      <c r="T5" s="34"/>
      <c r="U5" s="34"/>
      <c r="V5" s="34"/>
      <c r="W5" s="34"/>
      <c r="X5" s="34"/>
      <c r="Y5" s="34"/>
      <c r="Z5" s="99">
        <v>6</v>
      </c>
      <c r="AA5" s="99">
        <v>8</v>
      </c>
      <c r="AB5" s="34"/>
      <c r="AC5" s="34"/>
      <c r="AD5" s="101"/>
      <c r="AE5" s="34"/>
    </row>
    <row r="6" spans="1:31" x14ac:dyDescent="0.25">
      <c r="A6" s="34"/>
      <c r="B6" s="129" t="s">
        <v>58</v>
      </c>
      <c r="C6" s="113">
        <f>15/(IF($J$36="Yes",1,0)+1)*(IF($J$39="Yes",1,0)+1)</f>
        <v>15</v>
      </c>
      <c r="D6" s="113">
        <f t="shared" ref="D6:D33" si="2">ROUNDUP(C6/2,0)</f>
        <v>8</v>
      </c>
      <c r="E6" s="29">
        <f t="shared" ref="E6:E33" si="3">ROUNDUP(C6/2,0)</f>
        <v>8</v>
      </c>
      <c r="F6" s="48">
        <f t="shared" si="0"/>
        <v>4</v>
      </c>
      <c r="G6" s="117">
        <f t="shared" ref="G6:G33" si="4">ROUNDUP(C6/18,0)</f>
        <v>1</v>
      </c>
      <c r="H6" s="120">
        <f t="shared" ref="H6:H33" si="5">ROUNDUP(C6,0)</f>
        <v>15</v>
      </c>
      <c r="I6" s="30">
        <f t="shared" ref="I6:I33" si="6">ROUNDUP(C6/4,0)</f>
        <v>4</v>
      </c>
      <c r="J6" s="124">
        <f t="shared" ref="J6:J33" si="7">ROUNDUP(H6/3,0)</f>
        <v>5</v>
      </c>
      <c r="K6" s="49">
        <f t="shared" ref="K6:K33" si="8">ROUNDUP(C6/30,0)</f>
        <v>1</v>
      </c>
      <c r="L6" s="129" t="str">
        <f t="shared" si="1"/>
        <v>Crow</v>
      </c>
      <c r="M6" s="199">
        <v>3</v>
      </c>
      <c r="N6" s="34"/>
      <c r="O6" s="34"/>
      <c r="P6" s="34"/>
      <c r="Q6" s="34"/>
      <c r="R6" s="34"/>
      <c r="S6" s="34"/>
      <c r="T6" s="34"/>
      <c r="U6" s="34"/>
      <c r="V6" s="34"/>
      <c r="W6" s="34"/>
      <c r="X6" s="200">
        <v>6</v>
      </c>
      <c r="Y6" s="34"/>
      <c r="Z6" s="34"/>
      <c r="AA6" s="34"/>
      <c r="AB6" s="34"/>
      <c r="AC6" s="34"/>
      <c r="AD6" s="101"/>
      <c r="AE6" s="34"/>
    </row>
    <row r="7" spans="1:31" x14ac:dyDescent="0.25">
      <c r="A7" s="34"/>
      <c r="B7" s="50" t="s">
        <v>60</v>
      </c>
      <c r="C7" s="34">
        <f>5/(IF($J$36="Yes",1,0)+1)*(IF($J$39="Yes",1,0)+1)</f>
        <v>5</v>
      </c>
      <c r="D7" s="34">
        <f t="shared" si="2"/>
        <v>3</v>
      </c>
      <c r="E7" s="25">
        <f t="shared" si="3"/>
        <v>3</v>
      </c>
      <c r="F7" s="46">
        <f t="shared" si="0"/>
        <v>2</v>
      </c>
      <c r="G7" s="26">
        <f t="shared" si="4"/>
        <v>1</v>
      </c>
      <c r="H7" s="27">
        <f t="shared" si="5"/>
        <v>5</v>
      </c>
      <c r="I7" s="138">
        <f t="shared" si="6"/>
        <v>2</v>
      </c>
      <c r="J7" s="28">
        <f t="shared" si="7"/>
        <v>2</v>
      </c>
      <c r="K7" s="126">
        <f t="shared" si="8"/>
        <v>1</v>
      </c>
      <c r="L7" s="50" t="str">
        <f t="shared" si="1"/>
        <v>Spider</v>
      </c>
      <c r="M7" s="98">
        <v>13</v>
      </c>
      <c r="N7" s="34"/>
      <c r="O7" s="34"/>
      <c r="P7" s="34"/>
      <c r="Q7" s="34"/>
      <c r="R7" s="34"/>
      <c r="S7" s="34"/>
      <c r="T7" s="34"/>
      <c r="U7" s="34"/>
      <c r="V7" s="34"/>
      <c r="W7" s="34"/>
      <c r="X7" s="34"/>
      <c r="Y7" s="34"/>
      <c r="Z7" s="34"/>
      <c r="AA7" s="99">
        <v>11</v>
      </c>
      <c r="AB7" s="34"/>
      <c r="AC7" s="34"/>
      <c r="AD7" s="101"/>
      <c r="AE7" s="34"/>
    </row>
    <row r="8" spans="1:31" x14ac:dyDescent="0.25">
      <c r="A8" s="34"/>
      <c r="B8" s="129" t="s">
        <v>62</v>
      </c>
      <c r="C8" s="113">
        <f>100/(IF($J$36="Yes",1,0)+1)*(IF($J$39="Yes",1,0)+1)</f>
        <v>100</v>
      </c>
      <c r="D8" s="113">
        <f t="shared" si="2"/>
        <v>50</v>
      </c>
      <c r="E8" s="29">
        <f t="shared" si="3"/>
        <v>50</v>
      </c>
      <c r="F8" s="48">
        <f t="shared" si="0"/>
        <v>25</v>
      </c>
      <c r="G8" s="117">
        <f t="shared" si="4"/>
        <v>6</v>
      </c>
      <c r="H8" s="120">
        <f t="shared" si="5"/>
        <v>100</v>
      </c>
      <c r="I8" s="30">
        <f t="shared" si="6"/>
        <v>25</v>
      </c>
      <c r="J8" s="124">
        <f t="shared" si="7"/>
        <v>34</v>
      </c>
      <c r="K8" s="49">
        <f t="shared" si="8"/>
        <v>4</v>
      </c>
      <c r="L8" s="129" t="str">
        <f t="shared" si="1"/>
        <v>T-Rex</v>
      </c>
      <c r="M8" s="199">
        <v>2</v>
      </c>
      <c r="N8" s="34"/>
      <c r="O8" s="34"/>
      <c r="P8" s="34"/>
      <c r="Q8" s="34"/>
      <c r="R8" s="34"/>
      <c r="S8" s="34"/>
      <c r="T8" s="34"/>
      <c r="U8" s="34"/>
      <c r="V8" s="34"/>
      <c r="W8" s="34"/>
      <c r="X8" s="34"/>
      <c r="Y8" s="34"/>
      <c r="Z8" s="34"/>
      <c r="AA8" s="34"/>
      <c r="AB8" s="34"/>
      <c r="AC8" s="34"/>
      <c r="AD8" s="101"/>
      <c r="AE8" s="34"/>
    </row>
    <row r="9" spans="1:31" x14ac:dyDescent="0.25">
      <c r="A9" s="34"/>
      <c r="B9" s="50" t="s">
        <v>64</v>
      </c>
      <c r="C9" s="34">
        <f>4/(IF($J$36="Yes",1,0)+1)*(IF($J$39="Yes",1,0)+1)</f>
        <v>4</v>
      </c>
      <c r="D9" s="34">
        <f t="shared" si="2"/>
        <v>2</v>
      </c>
      <c r="E9" s="25">
        <f t="shared" si="3"/>
        <v>2</v>
      </c>
      <c r="F9" s="46">
        <f t="shared" si="0"/>
        <v>1</v>
      </c>
      <c r="G9" s="26">
        <f t="shared" si="4"/>
        <v>1</v>
      </c>
      <c r="H9" s="27">
        <f t="shared" si="5"/>
        <v>4</v>
      </c>
      <c r="I9" s="138">
        <f t="shared" si="6"/>
        <v>1</v>
      </c>
      <c r="J9" s="28">
        <f t="shared" si="7"/>
        <v>2</v>
      </c>
      <c r="K9" s="126">
        <f t="shared" si="8"/>
        <v>1</v>
      </c>
      <c r="L9" s="50" t="str">
        <f t="shared" si="1"/>
        <v>Rat</v>
      </c>
      <c r="M9" s="47"/>
      <c r="N9" s="99">
        <v>5</v>
      </c>
      <c r="O9" s="99">
        <v>12</v>
      </c>
      <c r="P9" s="99">
        <v>6</v>
      </c>
      <c r="Q9" s="99"/>
      <c r="R9" s="99"/>
      <c r="S9" s="99"/>
      <c r="T9" s="99"/>
      <c r="U9" s="99"/>
      <c r="V9" s="99"/>
      <c r="W9" s="99"/>
      <c r="X9" s="99"/>
      <c r="Y9" s="99"/>
      <c r="Z9" s="99"/>
      <c r="AA9" s="99"/>
      <c r="AB9" s="99"/>
      <c r="AC9" s="99"/>
      <c r="AD9" s="101"/>
      <c r="AE9" s="34"/>
    </row>
    <row r="10" spans="1:31" x14ac:dyDescent="0.25">
      <c r="A10" s="34"/>
      <c r="B10" s="129" t="s">
        <v>65</v>
      </c>
      <c r="C10" s="113">
        <f>10/(IF($J$36="Yes",1,0)+1)*(IF($J$39="Yes",1,0)+1)</f>
        <v>10</v>
      </c>
      <c r="D10" s="113">
        <f t="shared" si="2"/>
        <v>5</v>
      </c>
      <c r="E10" s="29">
        <f t="shared" si="3"/>
        <v>5</v>
      </c>
      <c r="F10" s="48">
        <f t="shared" si="0"/>
        <v>3</v>
      </c>
      <c r="G10" s="117">
        <f t="shared" si="4"/>
        <v>1</v>
      </c>
      <c r="H10" s="120">
        <f t="shared" si="5"/>
        <v>10</v>
      </c>
      <c r="I10" s="30">
        <f t="shared" si="6"/>
        <v>3</v>
      </c>
      <c r="J10" s="124">
        <f t="shared" si="7"/>
        <v>4</v>
      </c>
      <c r="K10" s="49">
        <f t="shared" si="8"/>
        <v>1</v>
      </c>
      <c r="L10" s="129" t="str">
        <f t="shared" si="1"/>
        <v>Dog</v>
      </c>
      <c r="M10" s="47"/>
      <c r="N10" s="200">
        <v>5</v>
      </c>
      <c r="O10" s="200">
        <v>7</v>
      </c>
      <c r="P10" s="200">
        <v>12</v>
      </c>
      <c r="Q10" s="200">
        <v>1</v>
      </c>
      <c r="R10" s="200">
        <v>7</v>
      </c>
      <c r="S10" s="100"/>
      <c r="T10" s="100"/>
      <c r="U10" s="100"/>
      <c r="V10" s="100"/>
      <c r="W10" s="100"/>
      <c r="X10" s="100"/>
      <c r="Y10" s="100"/>
      <c r="Z10" s="100"/>
      <c r="AA10" s="100"/>
      <c r="AB10" s="100"/>
      <c r="AC10" s="100"/>
      <c r="AD10" s="201">
        <v>4</v>
      </c>
      <c r="AE10" s="34"/>
    </row>
    <row r="11" spans="1:31" x14ac:dyDescent="0.25">
      <c r="A11" s="34"/>
      <c r="B11" s="50" t="s">
        <v>67</v>
      </c>
      <c r="C11" s="34">
        <f>27/(IF($J$36="Yes",1,0)+1)*(IF($J$39="Yes",1,0)+1)</f>
        <v>27</v>
      </c>
      <c r="D11" s="34">
        <f t="shared" si="2"/>
        <v>14</v>
      </c>
      <c r="E11" s="25">
        <f t="shared" si="3"/>
        <v>14</v>
      </c>
      <c r="F11" s="46">
        <f t="shared" si="0"/>
        <v>7</v>
      </c>
      <c r="G11" s="26">
        <f t="shared" si="4"/>
        <v>2</v>
      </c>
      <c r="H11" s="27">
        <f t="shared" si="5"/>
        <v>27</v>
      </c>
      <c r="I11" s="138">
        <f t="shared" si="6"/>
        <v>7</v>
      </c>
      <c r="J11" s="28">
        <f t="shared" si="7"/>
        <v>9</v>
      </c>
      <c r="K11" s="126">
        <f t="shared" si="8"/>
        <v>1</v>
      </c>
      <c r="L11" s="50" t="str">
        <f t="shared" si="1"/>
        <v>Melee Thug</v>
      </c>
      <c r="M11" s="47"/>
      <c r="N11" s="99">
        <v>4</v>
      </c>
      <c r="O11" s="99">
        <v>6</v>
      </c>
      <c r="P11" s="99">
        <v>11</v>
      </c>
      <c r="Q11" s="99">
        <v>10</v>
      </c>
      <c r="R11" s="99">
        <v>9</v>
      </c>
      <c r="S11" s="99">
        <v>2</v>
      </c>
      <c r="T11" s="99">
        <v>9</v>
      </c>
      <c r="U11" s="99">
        <v>9</v>
      </c>
      <c r="V11" s="99">
        <v>10</v>
      </c>
      <c r="W11" s="99"/>
      <c r="X11" s="99"/>
      <c r="Y11" s="99"/>
      <c r="Z11" s="99"/>
      <c r="AA11" s="99"/>
      <c r="AB11" s="99"/>
      <c r="AC11" s="99"/>
      <c r="AD11" s="205">
        <v>4</v>
      </c>
      <c r="AE11" s="34"/>
    </row>
    <row r="12" spans="1:31" x14ac:dyDescent="0.25">
      <c r="A12" s="34"/>
      <c r="B12" s="129" t="s">
        <v>68</v>
      </c>
      <c r="C12" s="113">
        <f>25/(IF($J$36="Yes",1,0)+1)*(IF($J$39="Yes",1,0)+1)</f>
        <v>25</v>
      </c>
      <c r="D12" s="113">
        <f t="shared" si="2"/>
        <v>13</v>
      </c>
      <c r="E12" s="29">
        <f t="shared" si="3"/>
        <v>13</v>
      </c>
      <c r="F12" s="48">
        <f t="shared" si="0"/>
        <v>7</v>
      </c>
      <c r="G12" s="117">
        <f t="shared" si="4"/>
        <v>2</v>
      </c>
      <c r="H12" s="120">
        <f t="shared" si="5"/>
        <v>25</v>
      </c>
      <c r="I12" s="30">
        <f t="shared" si="6"/>
        <v>7</v>
      </c>
      <c r="J12" s="124">
        <f t="shared" si="7"/>
        <v>9</v>
      </c>
      <c r="K12" s="49">
        <f t="shared" si="8"/>
        <v>1</v>
      </c>
      <c r="L12" s="129" t="str">
        <f t="shared" si="1"/>
        <v>Pistol Thug</v>
      </c>
      <c r="M12" s="47"/>
      <c r="N12" s="200">
        <v>10</v>
      </c>
      <c r="O12" s="200">
        <v>12</v>
      </c>
      <c r="P12" s="200">
        <v>16</v>
      </c>
      <c r="Q12" s="100"/>
      <c r="R12" s="100"/>
      <c r="S12" s="100"/>
      <c r="T12" s="100"/>
      <c r="U12" s="100"/>
      <c r="V12" s="100"/>
      <c r="W12" s="100"/>
      <c r="X12" s="100"/>
      <c r="Y12" s="100"/>
      <c r="Z12" s="100"/>
      <c r="AA12" s="100"/>
      <c r="AB12" s="100"/>
      <c r="AC12" s="100"/>
      <c r="AD12" s="201">
        <v>7</v>
      </c>
      <c r="AE12" s="34"/>
    </row>
    <row r="13" spans="1:31" x14ac:dyDescent="0.25">
      <c r="A13" s="34"/>
      <c r="B13" s="50" t="s">
        <v>69</v>
      </c>
      <c r="C13" s="34">
        <f>150/(IF($J$36="Yes",1,0)+1)*(IF($J$39="Yes",1,0)+1)</f>
        <v>150</v>
      </c>
      <c r="D13" s="34">
        <f t="shared" si="2"/>
        <v>75</v>
      </c>
      <c r="E13" s="25">
        <f t="shared" si="3"/>
        <v>75</v>
      </c>
      <c r="F13" s="46">
        <f t="shared" si="0"/>
        <v>38</v>
      </c>
      <c r="G13" s="26">
        <f t="shared" si="4"/>
        <v>9</v>
      </c>
      <c r="H13" s="27">
        <f t="shared" si="5"/>
        <v>150</v>
      </c>
      <c r="I13" s="138">
        <f t="shared" si="6"/>
        <v>38</v>
      </c>
      <c r="J13" s="28">
        <f t="shared" si="7"/>
        <v>50</v>
      </c>
      <c r="K13" s="126">
        <f t="shared" si="8"/>
        <v>5</v>
      </c>
      <c r="L13" s="50" t="str">
        <f t="shared" si="1"/>
        <v>Colt</v>
      </c>
      <c r="M13" s="47"/>
      <c r="N13" s="34"/>
      <c r="O13" s="99"/>
      <c r="P13" s="99">
        <v>1</v>
      </c>
      <c r="Q13" s="99"/>
      <c r="R13" s="99"/>
      <c r="S13" s="99"/>
      <c r="T13" s="99"/>
      <c r="U13" s="99"/>
      <c r="V13" s="99"/>
      <c r="W13" s="99"/>
      <c r="X13" s="99"/>
      <c r="Y13" s="99"/>
      <c r="Z13" s="99"/>
      <c r="AA13" s="99"/>
      <c r="AB13" s="99"/>
      <c r="AC13" s="99"/>
      <c r="AD13" s="205">
        <v>1</v>
      </c>
      <c r="AE13" s="34"/>
    </row>
    <row r="14" spans="1:31" x14ac:dyDescent="0.25">
      <c r="A14" s="34"/>
      <c r="B14" s="129" t="s">
        <v>71</v>
      </c>
      <c r="C14" s="113">
        <f>25/(IF($J$36="Yes",1,0)+1)*(IF($J$39="Yes",1,0)+1)</f>
        <v>25</v>
      </c>
      <c r="D14" s="113">
        <f t="shared" si="2"/>
        <v>13</v>
      </c>
      <c r="E14" s="29">
        <f t="shared" si="3"/>
        <v>13</v>
      </c>
      <c r="F14" s="48">
        <f t="shared" si="0"/>
        <v>7</v>
      </c>
      <c r="G14" s="117">
        <f t="shared" si="4"/>
        <v>2</v>
      </c>
      <c r="H14" s="120">
        <f t="shared" si="5"/>
        <v>25</v>
      </c>
      <c r="I14" s="30">
        <f t="shared" si="6"/>
        <v>7</v>
      </c>
      <c r="J14" s="124">
        <f t="shared" si="7"/>
        <v>9</v>
      </c>
      <c r="K14" s="49">
        <f t="shared" si="8"/>
        <v>1</v>
      </c>
      <c r="L14" s="129" t="str">
        <f t="shared" si="1"/>
        <v>Shotgun Thug</v>
      </c>
      <c r="M14" s="47"/>
      <c r="N14" s="34"/>
      <c r="O14" s="100"/>
      <c r="P14" s="100"/>
      <c r="Q14" s="200">
        <v>4</v>
      </c>
      <c r="R14" s="200">
        <v>5</v>
      </c>
      <c r="S14" s="200">
        <v>3</v>
      </c>
      <c r="T14" s="200">
        <v>7</v>
      </c>
      <c r="U14" s="200">
        <v>9</v>
      </c>
      <c r="V14" s="200">
        <v>5</v>
      </c>
      <c r="W14" s="100"/>
      <c r="X14" s="100"/>
      <c r="Y14" s="100"/>
      <c r="Z14" s="100"/>
      <c r="AA14" s="100"/>
      <c r="AB14" s="100"/>
      <c r="AC14" s="100"/>
      <c r="AD14" s="101"/>
      <c r="AE14" s="34"/>
    </row>
    <row r="15" spans="1:31" x14ac:dyDescent="0.25">
      <c r="A15" s="34"/>
      <c r="B15" s="50" t="s">
        <v>72</v>
      </c>
      <c r="C15" s="34">
        <f>20/(IF($J$36="Yes",1,0)+1)*(IF($J$39="Yes",1,0)+1)</f>
        <v>20</v>
      </c>
      <c r="D15" s="34">
        <f t="shared" si="2"/>
        <v>10</v>
      </c>
      <c r="E15" s="25">
        <f t="shared" si="3"/>
        <v>10</v>
      </c>
      <c r="F15" s="46">
        <f t="shared" si="0"/>
        <v>5</v>
      </c>
      <c r="G15" s="26">
        <f t="shared" si="4"/>
        <v>2</v>
      </c>
      <c r="H15" s="27">
        <f t="shared" si="5"/>
        <v>20</v>
      </c>
      <c r="I15" s="138">
        <f t="shared" si="6"/>
        <v>5</v>
      </c>
      <c r="J15" s="28">
        <f t="shared" si="7"/>
        <v>7</v>
      </c>
      <c r="K15" s="126">
        <f t="shared" si="8"/>
        <v>1</v>
      </c>
      <c r="L15" s="50" t="str">
        <f t="shared" si="1"/>
        <v>Auto Rifle Thug</v>
      </c>
      <c r="M15" s="47"/>
      <c r="N15" s="34"/>
      <c r="O15" s="99"/>
      <c r="P15" s="99"/>
      <c r="Q15" s="99">
        <v>3</v>
      </c>
      <c r="R15" s="99">
        <v>6</v>
      </c>
      <c r="S15" s="99"/>
      <c r="T15" s="99">
        <v>7</v>
      </c>
      <c r="U15" s="99"/>
      <c r="V15" s="99"/>
      <c r="W15" s="99"/>
      <c r="X15" s="99"/>
      <c r="Y15" s="99"/>
      <c r="Z15" s="99"/>
      <c r="AA15" s="99"/>
      <c r="AB15" s="99"/>
      <c r="AC15" s="99"/>
      <c r="AD15" s="101"/>
      <c r="AE15" s="34"/>
    </row>
    <row r="16" spans="1:31" x14ac:dyDescent="0.25">
      <c r="A16" s="34"/>
      <c r="B16" s="129" t="s">
        <v>73</v>
      </c>
      <c r="C16" s="113">
        <f>20/(IF($J$36="Yes",1,0)+1)*(IF($J$39="Yes",1,0)+1)</f>
        <v>20</v>
      </c>
      <c r="D16" s="113">
        <f t="shared" si="2"/>
        <v>10</v>
      </c>
      <c r="E16" s="29">
        <f t="shared" si="3"/>
        <v>10</v>
      </c>
      <c r="F16" s="48">
        <f t="shared" si="0"/>
        <v>5</v>
      </c>
      <c r="G16" s="117">
        <f t="shared" si="4"/>
        <v>2</v>
      </c>
      <c r="H16" s="120">
        <f t="shared" si="5"/>
        <v>20</v>
      </c>
      <c r="I16" s="30">
        <f t="shared" si="6"/>
        <v>5</v>
      </c>
      <c r="J16" s="124">
        <f t="shared" si="7"/>
        <v>7</v>
      </c>
      <c r="K16" s="49">
        <f t="shared" si="8"/>
        <v>1</v>
      </c>
      <c r="L16" s="129" t="str">
        <f t="shared" si="1"/>
        <v>Flamethrower</v>
      </c>
      <c r="M16" s="47"/>
      <c r="N16" s="34"/>
      <c r="O16" s="100"/>
      <c r="P16" s="100"/>
      <c r="Q16" s="100"/>
      <c r="R16" s="200">
        <v>3</v>
      </c>
      <c r="S16" s="100"/>
      <c r="T16" s="100"/>
      <c r="U16" s="100"/>
      <c r="V16" s="200">
        <v>5</v>
      </c>
      <c r="W16" s="100"/>
      <c r="X16" s="100"/>
      <c r="Y16" s="100"/>
      <c r="Z16" s="100"/>
      <c r="AA16" s="100"/>
      <c r="AB16" s="100"/>
      <c r="AC16" s="100"/>
      <c r="AD16" s="101"/>
      <c r="AE16" s="34"/>
    </row>
    <row r="17" spans="1:31" x14ac:dyDescent="0.25">
      <c r="A17" s="34"/>
      <c r="B17" s="50" t="s">
        <v>145</v>
      </c>
      <c r="C17" s="34">
        <f>20/(IF($J$36="Yes",1,0)+1)*(IF($J$39="Yes",1,0)+1)</f>
        <v>20</v>
      </c>
      <c r="D17" s="34">
        <f t="shared" si="2"/>
        <v>10</v>
      </c>
      <c r="E17" s="25">
        <f t="shared" si="3"/>
        <v>10</v>
      </c>
      <c r="F17" s="46">
        <f t="shared" si="0"/>
        <v>5</v>
      </c>
      <c r="G17" s="26">
        <f t="shared" si="4"/>
        <v>2</v>
      </c>
      <c r="H17" s="27">
        <f t="shared" si="5"/>
        <v>20</v>
      </c>
      <c r="I17" s="138">
        <f t="shared" si="6"/>
        <v>5</v>
      </c>
      <c r="J17" s="28">
        <f t="shared" si="7"/>
        <v>7</v>
      </c>
      <c r="K17" s="126">
        <f t="shared" si="8"/>
        <v>1</v>
      </c>
      <c r="L17" s="50" t="str">
        <f t="shared" si="1"/>
        <v>Scuba Diver</v>
      </c>
      <c r="M17" s="47"/>
      <c r="N17" s="34"/>
      <c r="O17" s="99"/>
      <c r="P17" s="99"/>
      <c r="Q17" s="99">
        <v>2</v>
      </c>
      <c r="R17" s="99">
        <v>4</v>
      </c>
      <c r="S17" s="99">
        <v>1</v>
      </c>
      <c r="T17" s="99">
        <v>3</v>
      </c>
      <c r="U17" s="99">
        <v>1</v>
      </c>
      <c r="V17" s="99">
        <v>3</v>
      </c>
      <c r="W17" s="99"/>
      <c r="X17" s="99"/>
      <c r="Y17" s="99"/>
      <c r="Z17" s="99"/>
      <c r="AA17" s="99"/>
      <c r="AB17" s="99"/>
      <c r="AC17" s="99"/>
      <c r="AD17" s="101"/>
      <c r="AE17" s="34"/>
    </row>
    <row r="18" spans="1:31" x14ac:dyDescent="0.25">
      <c r="A18" s="34"/>
      <c r="B18" s="129" t="s">
        <v>75</v>
      </c>
      <c r="C18" s="113">
        <f>30/(IF($J$36="Yes",1,0)+1)*(IF($J$39="Yes",1,0)+1)</f>
        <v>30</v>
      </c>
      <c r="D18" s="113">
        <f t="shared" si="2"/>
        <v>15</v>
      </c>
      <c r="E18" s="29">
        <f t="shared" si="3"/>
        <v>15</v>
      </c>
      <c r="F18" s="48">
        <f t="shared" si="0"/>
        <v>8</v>
      </c>
      <c r="G18" s="117">
        <f t="shared" si="4"/>
        <v>2</v>
      </c>
      <c r="H18" s="120">
        <f t="shared" si="5"/>
        <v>30</v>
      </c>
      <c r="I18" s="30">
        <f t="shared" si="6"/>
        <v>8</v>
      </c>
      <c r="J18" s="124">
        <f t="shared" si="7"/>
        <v>10</v>
      </c>
      <c r="K18" s="49">
        <f t="shared" si="8"/>
        <v>1</v>
      </c>
      <c r="L18" s="129" t="str">
        <f t="shared" si="1"/>
        <v>Shark</v>
      </c>
      <c r="M18" s="47"/>
      <c r="N18" s="34"/>
      <c r="O18" s="100"/>
      <c r="P18" s="100"/>
      <c r="Q18" s="100"/>
      <c r="R18" s="100"/>
      <c r="S18" s="200">
        <v>3</v>
      </c>
      <c r="T18" s="200">
        <f>2+IF(J42="Yes",1,0)</f>
        <v>2</v>
      </c>
      <c r="U18" s="100"/>
      <c r="V18" s="200">
        <v>3</v>
      </c>
      <c r="W18" s="100"/>
      <c r="X18" s="100"/>
      <c r="Y18" s="100"/>
      <c r="Z18" s="100"/>
      <c r="AA18" s="100"/>
      <c r="AB18" s="100"/>
      <c r="AC18" s="100"/>
      <c r="AD18" s="101"/>
      <c r="AE18" s="34"/>
    </row>
    <row r="19" spans="1:31" x14ac:dyDescent="0.25">
      <c r="A19" s="34"/>
      <c r="B19" s="50" t="s">
        <v>77</v>
      </c>
      <c r="C19" s="34">
        <f>12/(IF($J$36="Yes",1,0)+1)*(IF($J$39="Yes",1,0)+1)</f>
        <v>12</v>
      </c>
      <c r="D19" s="34">
        <f t="shared" si="2"/>
        <v>6</v>
      </c>
      <c r="E19" s="25">
        <f t="shared" si="3"/>
        <v>6</v>
      </c>
      <c r="F19" s="46">
        <f t="shared" si="0"/>
        <v>3</v>
      </c>
      <c r="G19" s="26">
        <f t="shared" si="4"/>
        <v>1</v>
      </c>
      <c r="H19" s="27">
        <f t="shared" si="5"/>
        <v>12</v>
      </c>
      <c r="I19" s="138">
        <f t="shared" si="6"/>
        <v>3</v>
      </c>
      <c r="J19" s="28">
        <f t="shared" si="7"/>
        <v>4</v>
      </c>
      <c r="K19" s="126">
        <f t="shared" si="8"/>
        <v>1</v>
      </c>
      <c r="L19" s="50" t="str">
        <f t="shared" si="1"/>
        <v>Barracuda</v>
      </c>
      <c r="M19" s="47"/>
      <c r="N19" s="34"/>
      <c r="O19" s="99"/>
      <c r="P19" s="99"/>
      <c r="Q19" s="99"/>
      <c r="R19" s="99"/>
      <c r="S19" s="99">
        <v>7</v>
      </c>
      <c r="T19" s="99">
        <v>7</v>
      </c>
      <c r="U19" s="99">
        <v>2</v>
      </c>
      <c r="V19" s="99">
        <v>4</v>
      </c>
      <c r="W19" s="99"/>
      <c r="X19" s="99"/>
      <c r="Y19" s="99"/>
      <c r="Z19" s="99"/>
      <c r="AA19" s="99"/>
      <c r="AB19" s="99"/>
      <c r="AC19" s="99"/>
      <c r="AD19" s="101"/>
      <c r="AE19" s="34"/>
    </row>
    <row r="20" spans="1:31" x14ac:dyDescent="0.25">
      <c r="A20" s="34"/>
      <c r="B20" s="129" t="s">
        <v>78</v>
      </c>
      <c r="C20" s="113">
        <f>45/(IF($J$36="Yes",1,0)+1)*(IF($J$39="Yes",1,0)+1)</f>
        <v>45</v>
      </c>
      <c r="D20" s="113">
        <f t="shared" si="2"/>
        <v>23</v>
      </c>
      <c r="E20" s="29">
        <f t="shared" si="3"/>
        <v>23</v>
      </c>
      <c r="F20" s="48">
        <f t="shared" si="0"/>
        <v>12</v>
      </c>
      <c r="G20" s="117">
        <f t="shared" si="4"/>
        <v>3</v>
      </c>
      <c r="H20" s="120">
        <f t="shared" si="5"/>
        <v>45</v>
      </c>
      <c r="I20" s="30">
        <f t="shared" si="6"/>
        <v>12</v>
      </c>
      <c r="J20" s="124">
        <f t="shared" si="7"/>
        <v>15</v>
      </c>
      <c r="K20" s="49">
        <f t="shared" si="8"/>
        <v>2</v>
      </c>
      <c r="L20" s="129" t="str">
        <f t="shared" si="1"/>
        <v>Uzi Thug</v>
      </c>
      <c r="M20" s="47"/>
      <c r="N20" s="34"/>
      <c r="O20" s="100"/>
      <c r="P20" s="100"/>
      <c r="Q20" s="100"/>
      <c r="R20" s="100"/>
      <c r="S20" s="100"/>
      <c r="T20" s="100"/>
      <c r="U20" s="100"/>
      <c r="V20" s="100"/>
      <c r="W20" s="100"/>
      <c r="X20" s="200">
        <v>13</v>
      </c>
      <c r="Y20" s="200">
        <v>3</v>
      </c>
      <c r="Z20" s="100"/>
      <c r="AA20" s="100"/>
      <c r="AB20" s="100"/>
      <c r="AC20" s="100"/>
      <c r="AD20" s="101"/>
      <c r="AE20" s="34"/>
    </row>
    <row r="21" spans="1:31" x14ac:dyDescent="0.25">
      <c r="A21" s="34"/>
      <c r="B21" s="50" t="s">
        <v>80</v>
      </c>
      <c r="C21" s="34">
        <f>50/(IF($J$36="Yes",1,0)+1)*(IF($J$39="Yes",1,0)+1)</f>
        <v>50</v>
      </c>
      <c r="D21" s="34">
        <f t="shared" si="2"/>
        <v>25</v>
      </c>
      <c r="E21" s="25">
        <f t="shared" si="3"/>
        <v>25</v>
      </c>
      <c r="F21" s="46">
        <f t="shared" si="0"/>
        <v>13</v>
      </c>
      <c r="G21" s="26">
        <f t="shared" si="4"/>
        <v>3</v>
      </c>
      <c r="H21" s="27">
        <f t="shared" si="5"/>
        <v>50</v>
      </c>
      <c r="I21" s="138">
        <f t="shared" si="6"/>
        <v>13</v>
      </c>
      <c r="J21" s="28">
        <f t="shared" si="7"/>
        <v>17</v>
      </c>
      <c r="K21" s="126">
        <f t="shared" si="8"/>
        <v>2</v>
      </c>
      <c r="L21" s="50" t="str">
        <f t="shared" si="1"/>
        <v>Burst Pistol Thug</v>
      </c>
      <c r="M21" s="47"/>
      <c r="N21" s="34"/>
      <c r="O21" s="99"/>
      <c r="P21" s="99"/>
      <c r="Q21" s="99"/>
      <c r="R21" s="99"/>
      <c r="S21" s="99"/>
      <c r="T21" s="99"/>
      <c r="U21" s="99"/>
      <c r="V21" s="99"/>
      <c r="W21" s="99">
        <v>15</v>
      </c>
      <c r="X21" s="99">
        <v>11</v>
      </c>
      <c r="Y21" s="99">
        <v>4</v>
      </c>
      <c r="Z21" s="99"/>
      <c r="AA21" s="99"/>
      <c r="AB21" s="99"/>
      <c r="AC21" s="99"/>
      <c r="AD21" s="101"/>
      <c r="AE21" s="34"/>
    </row>
    <row r="22" spans="1:31" x14ac:dyDescent="0.25">
      <c r="A22" s="34"/>
      <c r="B22" s="129" t="s">
        <v>81</v>
      </c>
      <c r="C22" s="113">
        <f>100/(IF($J$36="Yes",1,0)+1)*(IF($J$39="Yes",1,0)+1)</f>
        <v>100</v>
      </c>
      <c r="D22" s="113">
        <f t="shared" si="2"/>
        <v>50</v>
      </c>
      <c r="E22" s="29">
        <f t="shared" si="3"/>
        <v>50</v>
      </c>
      <c r="F22" s="48">
        <f t="shared" si="0"/>
        <v>25</v>
      </c>
      <c r="G22" s="117">
        <f t="shared" si="4"/>
        <v>6</v>
      </c>
      <c r="H22" s="120">
        <f t="shared" si="5"/>
        <v>100</v>
      </c>
      <c r="I22" s="30">
        <f t="shared" si="6"/>
        <v>25</v>
      </c>
      <c r="J22" s="124">
        <f t="shared" si="7"/>
        <v>34</v>
      </c>
      <c r="K22" s="49">
        <f t="shared" si="8"/>
        <v>4</v>
      </c>
      <c r="L22" s="129" t="str">
        <f t="shared" si="1"/>
        <v>Snowmobile Thug</v>
      </c>
      <c r="M22" s="47"/>
      <c r="N22" s="34"/>
      <c r="O22" s="100"/>
      <c r="P22" s="100"/>
      <c r="Q22" s="100"/>
      <c r="R22" s="100"/>
      <c r="S22" s="100"/>
      <c r="T22" s="100"/>
      <c r="U22" s="100"/>
      <c r="V22" s="100"/>
      <c r="W22" s="200">
        <v>4</v>
      </c>
      <c r="X22" s="100"/>
      <c r="Y22" s="100"/>
      <c r="Z22" s="100"/>
      <c r="AA22" s="100"/>
      <c r="AB22" s="100"/>
      <c r="AC22" s="100"/>
      <c r="AD22" s="101"/>
      <c r="AE22" s="34"/>
    </row>
    <row r="23" spans="1:31" x14ac:dyDescent="0.25">
      <c r="A23" s="34"/>
      <c r="B23" s="50" t="s">
        <v>82</v>
      </c>
      <c r="C23" s="34">
        <f>20/(IF($J$36="Yes",1,0)+1)*(IF($J$39="Yes",1,0)+1)</f>
        <v>20</v>
      </c>
      <c r="D23" s="34">
        <f t="shared" si="2"/>
        <v>10</v>
      </c>
      <c r="E23" s="25">
        <f t="shared" si="3"/>
        <v>10</v>
      </c>
      <c r="F23" s="46">
        <f t="shared" si="0"/>
        <v>5</v>
      </c>
      <c r="G23" s="26">
        <f t="shared" si="4"/>
        <v>2</v>
      </c>
      <c r="H23" s="27">
        <f t="shared" si="5"/>
        <v>20</v>
      </c>
      <c r="I23" s="138">
        <f t="shared" si="6"/>
        <v>5</v>
      </c>
      <c r="J23" s="28">
        <f t="shared" si="7"/>
        <v>7</v>
      </c>
      <c r="K23" s="126">
        <f t="shared" si="8"/>
        <v>1</v>
      </c>
      <c r="L23" s="50" t="str">
        <f t="shared" si="1"/>
        <v>Snow Leopard</v>
      </c>
      <c r="M23" s="47"/>
      <c r="N23" s="34"/>
      <c r="O23" s="99"/>
      <c r="P23" s="99"/>
      <c r="Q23" s="99"/>
      <c r="R23" s="99"/>
      <c r="S23" s="99"/>
      <c r="T23" s="99"/>
      <c r="U23" s="99"/>
      <c r="V23" s="99"/>
      <c r="W23" s="99">
        <v>10</v>
      </c>
      <c r="X23" s="99"/>
      <c r="Y23" s="99">
        <v>18</v>
      </c>
      <c r="Z23" s="99"/>
      <c r="AA23" s="99"/>
      <c r="AB23" s="99"/>
      <c r="AC23" s="99"/>
      <c r="AD23" s="101"/>
      <c r="AE23" s="34"/>
    </row>
    <row r="24" spans="1:31" x14ac:dyDescent="0.25">
      <c r="A24" s="34"/>
      <c r="B24" s="129" t="s">
        <v>83</v>
      </c>
      <c r="C24" s="113">
        <f>30/(IF($J$36="Yes",1,0)+1)*(IF($J$39="Yes",1,0)+1)</f>
        <v>30</v>
      </c>
      <c r="D24" s="113">
        <f t="shared" si="2"/>
        <v>15</v>
      </c>
      <c r="E24" s="29">
        <f t="shared" si="3"/>
        <v>15</v>
      </c>
      <c r="F24" s="48">
        <f t="shared" si="0"/>
        <v>8</v>
      </c>
      <c r="G24" s="117">
        <f t="shared" si="4"/>
        <v>2</v>
      </c>
      <c r="H24" s="120">
        <f t="shared" si="5"/>
        <v>30</v>
      </c>
      <c r="I24" s="30">
        <f t="shared" si="6"/>
        <v>8</v>
      </c>
      <c r="J24" s="124">
        <f t="shared" si="7"/>
        <v>10</v>
      </c>
      <c r="K24" s="49">
        <f t="shared" si="8"/>
        <v>1</v>
      </c>
      <c r="L24" s="129" t="str">
        <f t="shared" si="1"/>
        <v>Monastery Monk</v>
      </c>
      <c r="M24" s="47"/>
      <c r="N24" s="34"/>
      <c r="O24" s="100"/>
      <c r="P24" s="100"/>
      <c r="Q24" s="100"/>
      <c r="R24" s="100"/>
      <c r="S24" s="100"/>
      <c r="T24" s="100"/>
      <c r="U24" s="100"/>
      <c r="V24" s="100"/>
      <c r="W24" s="100"/>
      <c r="X24" s="200">
        <v>22</v>
      </c>
      <c r="Y24" s="100"/>
      <c r="Z24" s="100"/>
      <c r="AA24" s="100"/>
      <c r="AB24" s="100"/>
      <c r="AC24" s="100"/>
      <c r="AD24" s="101"/>
      <c r="AE24" s="34"/>
    </row>
    <row r="25" spans="1:31" x14ac:dyDescent="0.25">
      <c r="A25" s="34"/>
      <c r="B25" s="50" t="s">
        <v>85</v>
      </c>
      <c r="C25" s="34">
        <f>12/(IF($J$36="Yes",1,0)+1)*(IF($J$39="Yes",1,0)+1)</f>
        <v>12</v>
      </c>
      <c r="D25" s="34">
        <f t="shared" si="2"/>
        <v>6</v>
      </c>
      <c r="E25" s="25">
        <f t="shared" si="3"/>
        <v>6</v>
      </c>
      <c r="F25" s="46">
        <f t="shared" si="0"/>
        <v>3</v>
      </c>
      <c r="G25" s="26">
        <f t="shared" si="4"/>
        <v>1</v>
      </c>
      <c r="H25" s="27">
        <f t="shared" si="5"/>
        <v>12</v>
      </c>
      <c r="I25" s="138">
        <f t="shared" si="6"/>
        <v>3</v>
      </c>
      <c r="J25" s="28">
        <f t="shared" si="7"/>
        <v>4</v>
      </c>
      <c r="K25" s="126">
        <f t="shared" si="8"/>
        <v>1</v>
      </c>
      <c r="L25" s="50" t="str">
        <f t="shared" si="1"/>
        <v>Catfish</v>
      </c>
      <c r="M25" s="47"/>
      <c r="N25" s="34"/>
      <c r="O25" s="99"/>
      <c r="P25" s="99"/>
      <c r="Q25" s="99"/>
      <c r="R25" s="99"/>
      <c r="S25" s="99"/>
      <c r="T25" s="99"/>
      <c r="U25" s="99"/>
      <c r="V25" s="99"/>
      <c r="W25" s="99"/>
      <c r="X25" s="99"/>
      <c r="Y25" s="99">
        <v>3</v>
      </c>
      <c r="Z25" s="99">
        <v>2</v>
      </c>
      <c r="AA25" s="99">
        <v>6</v>
      </c>
      <c r="AB25" s="99"/>
      <c r="AC25" s="99"/>
      <c r="AD25" s="101"/>
      <c r="AE25" s="34"/>
    </row>
    <row r="26" spans="1:31" x14ac:dyDescent="0.25">
      <c r="A26" s="34"/>
      <c r="B26" s="129" t="s">
        <v>87</v>
      </c>
      <c r="C26" s="113">
        <f>30/(IF($J$36="Yes",1,0)+1)*(IF($J$39="Yes",1,0)+1)</f>
        <v>30</v>
      </c>
      <c r="D26" s="113">
        <f t="shared" si="2"/>
        <v>15</v>
      </c>
      <c r="E26" s="29">
        <f t="shared" si="3"/>
        <v>15</v>
      </c>
      <c r="F26" s="48">
        <f t="shared" si="0"/>
        <v>8</v>
      </c>
      <c r="G26" s="117">
        <f t="shared" si="4"/>
        <v>2</v>
      </c>
      <c r="H26" s="120">
        <f t="shared" si="5"/>
        <v>30</v>
      </c>
      <c r="I26" s="30">
        <f t="shared" si="6"/>
        <v>8</v>
      </c>
      <c r="J26" s="124">
        <f t="shared" si="7"/>
        <v>10</v>
      </c>
      <c r="K26" s="49">
        <f t="shared" si="8"/>
        <v>1</v>
      </c>
      <c r="L26" s="129" t="str">
        <f t="shared" si="1"/>
        <v>Yeti</v>
      </c>
      <c r="M26" s="47"/>
      <c r="N26" s="34"/>
      <c r="O26" s="100"/>
      <c r="P26" s="100"/>
      <c r="Q26" s="100"/>
      <c r="R26" s="100"/>
      <c r="S26" s="100"/>
      <c r="T26" s="100"/>
      <c r="U26" s="100"/>
      <c r="V26" s="100"/>
      <c r="W26" s="100"/>
      <c r="X26" s="100"/>
      <c r="Y26" s="200">
        <v>5</v>
      </c>
      <c r="Z26" s="200">
        <v>13</v>
      </c>
      <c r="AA26" s="100"/>
      <c r="AB26" s="100"/>
      <c r="AC26" s="100"/>
      <c r="AD26" s="101"/>
      <c r="AE26" s="34"/>
    </row>
    <row r="27" spans="1:31" x14ac:dyDescent="0.25">
      <c r="A27" s="34"/>
      <c r="B27" s="50" t="s">
        <v>88</v>
      </c>
      <c r="C27" s="34">
        <f>200/(IF($J$36="Yes",1,0)+1)*(IF($J$39="Yes",1,0)+1)</f>
        <v>200</v>
      </c>
      <c r="D27" s="34">
        <f t="shared" si="2"/>
        <v>100</v>
      </c>
      <c r="E27" s="25">
        <f t="shared" si="3"/>
        <v>100</v>
      </c>
      <c r="F27" s="46">
        <f t="shared" si="0"/>
        <v>50</v>
      </c>
      <c r="G27" s="26">
        <f t="shared" si="4"/>
        <v>12</v>
      </c>
      <c r="H27" s="27">
        <f t="shared" si="5"/>
        <v>200</v>
      </c>
      <c r="I27" s="138">
        <f t="shared" si="6"/>
        <v>50</v>
      </c>
      <c r="J27" s="28">
        <f t="shared" si="7"/>
        <v>67</v>
      </c>
      <c r="K27" s="126">
        <f t="shared" si="8"/>
        <v>7</v>
      </c>
      <c r="L27" s="50" t="str">
        <f t="shared" si="1"/>
        <v>Talion Guardian</v>
      </c>
      <c r="M27" s="47"/>
      <c r="N27" s="34"/>
      <c r="O27" s="99"/>
      <c r="P27" s="99"/>
      <c r="Q27" s="99"/>
      <c r="R27" s="99"/>
      <c r="S27" s="99"/>
      <c r="T27" s="99"/>
      <c r="U27" s="99"/>
      <c r="V27" s="99"/>
      <c r="W27" s="99"/>
      <c r="X27" s="99"/>
      <c r="Y27" s="99"/>
      <c r="Z27" s="99">
        <v>1</v>
      </c>
      <c r="AA27" s="99"/>
      <c r="AB27" s="99"/>
      <c r="AC27" s="99"/>
      <c r="AD27" s="101"/>
      <c r="AE27" s="34"/>
    </row>
    <row r="28" spans="1:31" x14ac:dyDescent="0.25">
      <c r="A28" s="34"/>
      <c r="B28" s="129" t="s">
        <v>90</v>
      </c>
      <c r="C28" s="113">
        <f>20/(IF($J$36="Yes",1,0)+1)*(IF($J$39="Yes",1,0)+1)</f>
        <v>20</v>
      </c>
      <c r="D28" s="113">
        <f t="shared" si="2"/>
        <v>10</v>
      </c>
      <c r="E28" s="29">
        <f t="shared" si="3"/>
        <v>10</v>
      </c>
      <c r="F28" s="48">
        <f t="shared" si="0"/>
        <v>5</v>
      </c>
      <c r="G28" s="117">
        <f t="shared" si="4"/>
        <v>2</v>
      </c>
      <c r="H28" s="120">
        <f t="shared" si="5"/>
        <v>20</v>
      </c>
      <c r="I28" s="30">
        <f t="shared" si="6"/>
        <v>5</v>
      </c>
      <c r="J28" s="124">
        <f t="shared" si="7"/>
        <v>7</v>
      </c>
      <c r="K28" s="49">
        <f t="shared" si="8"/>
        <v>1</v>
      </c>
      <c r="L28" s="129" t="str">
        <f t="shared" si="1"/>
        <v>Eagle</v>
      </c>
      <c r="M28" s="47"/>
      <c r="N28" s="34"/>
      <c r="O28" s="100"/>
      <c r="P28" s="100"/>
      <c r="Q28" s="100"/>
      <c r="R28" s="100"/>
      <c r="S28" s="100"/>
      <c r="T28" s="100"/>
      <c r="U28" s="100"/>
      <c r="V28" s="100"/>
      <c r="W28" s="200">
        <v>4</v>
      </c>
      <c r="X28" s="100"/>
      <c r="Y28" s="100"/>
      <c r="Z28" s="100"/>
      <c r="AA28" s="200">
        <v>7</v>
      </c>
      <c r="AB28" s="100"/>
      <c r="AC28" s="100"/>
      <c r="AD28" s="101"/>
      <c r="AE28" s="34"/>
    </row>
    <row r="29" spans="1:31" x14ac:dyDescent="0.25">
      <c r="A29" s="34"/>
      <c r="B29" s="50" t="s">
        <v>91</v>
      </c>
      <c r="C29" s="34">
        <f>40/(IF($J$36="Yes",1,0)+1)*(IF($J$39="Yes",1,0)+1)</f>
        <v>40</v>
      </c>
      <c r="D29" s="34">
        <f t="shared" si="2"/>
        <v>20</v>
      </c>
      <c r="E29" s="25">
        <f t="shared" si="3"/>
        <v>20</v>
      </c>
      <c r="F29" s="46">
        <f t="shared" si="0"/>
        <v>10</v>
      </c>
      <c r="G29" s="26">
        <f t="shared" si="4"/>
        <v>3</v>
      </c>
      <c r="H29" s="27">
        <f t="shared" si="5"/>
        <v>40</v>
      </c>
      <c r="I29" s="138">
        <f t="shared" si="6"/>
        <v>10</v>
      </c>
      <c r="J29" s="28">
        <f t="shared" si="7"/>
        <v>14</v>
      </c>
      <c r="K29" s="126">
        <f t="shared" si="8"/>
        <v>2</v>
      </c>
      <c r="L29" s="50" t="str">
        <f t="shared" si="1"/>
        <v>Giant Spider</v>
      </c>
      <c r="M29" s="47"/>
      <c r="N29" s="34"/>
      <c r="O29" s="99"/>
      <c r="P29" s="99"/>
      <c r="Q29" s="99"/>
      <c r="R29" s="99"/>
      <c r="S29" s="99"/>
      <c r="T29" s="99"/>
      <c r="U29" s="99"/>
      <c r="V29" s="99"/>
      <c r="W29" s="99"/>
      <c r="X29" s="99"/>
      <c r="Y29" s="99"/>
      <c r="Z29" s="99"/>
      <c r="AA29" s="99">
        <v>5</v>
      </c>
      <c r="AB29" s="99"/>
      <c r="AC29" s="99"/>
      <c r="AD29" s="101"/>
      <c r="AE29" s="34"/>
    </row>
    <row r="30" spans="1:31" x14ac:dyDescent="0.25">
      <c r="A30" s="34"/>
      <c r="B30" s="129" t="s">
        <v>93</v>
      </c>
      <c r="C30" s="113">
        <f>80/(IF($J$36="Yes",1,0)+1)*(IF($J$39="Yes",1,0)+1)</f>
        <v>80</v>
      </c>
      <c r="D30" s="113">
        <f t="shared" si="2"/>
        <v>40</v>
      </c>
      <c r="E30" s="29">
        <f t="shared" si="3"/>
        <v>40</v>
      </c>
      <c r="F30" s="48">
        <f t="shared" si="0"/>
        <v>20</v>
      </c>
      <c r="G30" s="117">
        <f t="shared" si="4"/>
        <v>5</v>
      </c>
      <c r="H30" s="120">
        <f t="shared" si="5"/>
        <v>80</v>
      </c>
      <c r="I30" s="30">
        <f t="shared" si="6"/>
        <v>20</v>
      </c>
      <c r="J30" s="124">
        <f t="shared" si="7"/>
        <v>27</v>
      </c>
      <c r="K30" s="49">
        <f t="shared" si="8"/>
        <v>3</v>
      </c>
      <c r="L30" s="129" t="str">
        <f t="shared" si="1"/>
        <v>Sword Statue</v>
      </c>
      <c r="M30" s="47"/>
      <c r="N30" s="34"/>
      <c r="O30" s="100"/>
      <c r="P30" s="100"/>
      <c r="Q30" s="100"/>
      <c r="R30" s="100"/>
      <c r="S30" s="100"/>
      <c r="T30" s="100"/>
      <c r="U30" s="100"/>
      <c r="V30" s="100"/>
      <c r="W30" s="100"/>
      <c r="X30" s="100"/>
      <c r="Y30" s="100"/>
      <c r="Z30" s="100"/>
      <c r="AA30" s="100"/>
      <c r="AB30" s="200">
        <v>8</v>
      </c>
      <c r="AC30" s="100"/>
      <c r="AD30" s="101"/>
      <c r="AE30" s="34"/>
    </row>
    <row r="31" spans="1:31" x14ac:dyDescent="0.25">
      <c r="A31" s="34"/>
      <c r="B31" s="50" t="s">
        <v>94</v>
      </c>
      <c r="C31" s="34">
        <f>100/(IF($J$36="Yes",1,0)+1)*(IF($J$39="Yes",1,0)+1)</f>
        <v>100</v>
      </c>
      <c r="D31" s="34">
        <f t="shared" si="2"/>
        <v>50</v>
      </c>
      <c r="E31" s="25">
        <f t="shared" si="3"/>
        <v>50</v>
      </c>
      <c r="F31" s="46">
        <f t="shared" si="0"/>
        <v>25</v>
      </c>
      <c r="G31" s="26">
        <f t="shared" si="4"/>
        <v>6</v>
      </c>
      <c r="H31" s="27">
        <f t="shared" si="5"/>
        <v>100</v>
      </c>
      <c r="I31" s="138">
        <f t="shared" si="6"/>
        <v>25</v>
      </c>
      <c r="J31" s="28">
        <f t="shared" si="7"/>
        <v>34</v>
      </c>
      <c r="K31" s="126">
        <f t="shared" si="8"/>
        <v>4</v>
      </c>
      <c r="L31" s="50" t="str">
        <f t="shared" si="1"/>
        <v>Spear Statue</v>
      </c>
      <c r="M31" s="47"/>
      <c r="N31" s="34"/>
      <c r="O31" s="99"/>
      <c r="P31" s="99"/>
      <c r="Q31" s="99"/>
      <c r="R31" s="99"/>
      <c r="S31" s="99"/>
      <c r="T31" s="99"/>
      <c r="U31" s="99"/>
      <c r="V31" s="99"/>
      <c r="W31" s="99"/>
      <c r="X31" s="99"/>
      <c r="Y31" s="99"/>
      <c r="Z31" s="99"/>
      <c r="AA31" s="99"/>
      <c r="AB31" s="99">
        <v>12</v>
      </c>
      <c r="AC31" s="99">
        <v>4</v>
      </c>
      <c r="AD31" s="101"/>
      <c r="AE31" s="34"/>
    </row>
    <row r="32" spans="1:31" x14ac:dyDescent="0.25">
      <c r="A32" s="34"/>
      <c r="B32" s="129" t="s">
        <v>95</v>
      </c>
      <c r="C32" s="113">
        <f>60/(IF($J$36="Yes",1,0)+1)*(IF($J$39="Yes",1,0)+1)</f>
        <v>60</v>
      </c>
      <c r="D32" s="113">
        <f t="shared" si="2"/>
        <v>30</v>
      </c>
      <c r="E32" s="29">
        <f t="shared" si="3"/>
        <v>30</v>
      </c>
      <c r="F32" s="48">
        <f t="shared" si="0"/>
        <v>15</v>
      </c>
      <c r="G32" s="119">
        <f t="shared" si="4"/>
        <v>4</v>
      </c>
      <c r="H32" s="120">
        <f t="shared" si="5"/>
        <v>60</v>
      </c>
      <c r="I32" s="30">
        <f t="shared" si="6"/>
        <v>15</v>
      </c>
      <c r="J32" s="124">
        <f t="shared" si="7"/>
        <v>20</v>
      </c>
      <c r="K32" s="49">
        <f t="shared" si="8"/>
        <v>2</v>
      </c>
      <c r="L32" s="129" t="str">
        <f t="shared" si="1"/>
        <v>Bartoli's Monk</v>
      </c>
      <c r="M32" s="47"/>
      <c r="N32" s="34"/>
      <c r="O32" s="100"/>
      <c r="P32" s="100"/>
      <c r="Q32" s="100"/>
      <c r="R32" s="100"/>
      <c r="S32" s="100"/>
      <c r="T32" s="100"/>
      <c r="U32" s="100"/>
      <c r="V32" s="100"/>
      <c r="W32" s="100"/>
      <c r="X32" s="100"/>
      <c r="Y32" s="100"/>
      <c r="Z32" s="100"/>
      <c r="AA32" s="100"/>
      <c r="AB32" s="200">
        <v>6</v>
      </c>
      <c r="AC32" s="200">
        <v>6</v>
      </c>
      <c r="AD32" s="101"/>
      <c r="AE32" s="34"/>
    </row>
    <row r="33" spans="1:31" x14ac:dyDescent="0.25">
      <c r="A33" s="34"/>
      <c r="B33" s="51" t="s">
        <v>54</v>
      </c>
      <c r="C33" s="52">
        <f>300/(IF($J$36="Yes",1,0)+1)*(IF($J$39="Yes",1,0)+1)</f>
        <v>300</v>
      </c>
      <c r="D33" s="53">
        <f t="shared" si="2"/>
        <v>150</v>
      </c>
      <c r="E33" s="54">
        <f t="shared" si="3"/>
        <v>150</v>
      </c>
      <c r="F33" s="55">
        <f t="shared" si="0"/>
        <v>75</v>
      </c>
      <c r="G33" s="56">
        <f t="shared" si="4"/>
        <v>17</v>
      </c>
      <c r="H33" s="57">
        <f t="shared" si="5"/>
        <v>300</v>
      </c>
      <c r="I33" s="139">
        <f t="shared" si="6"/>
        <v>75</v>
      </c>
      <c r="J33" s="58">
        <f t="shared" si="7"/>
        <v>100</v>
      </c>
      <c r="K33" s="127">
        <f t="shared" si="8"/>
        <v>10</v>
      </c>
      <c r="L33" s="130" t="str">
        <f t="shared" si="1"/>
        <v>Dragon</v>
      </c>
      <c r="M33" s="34"/>
      <c r="N33" s="34"/>
      <c r="O33" s="34"/>
      <c r="P33" s="34"/>
      <c r="Q33" s="34"/>
      <c r="R33" s="34"/>
      <c r="S33" s="34"/>
      <c r="T33" s="34"/>
      <c r="U33" s="34"/>
      <c r="V33" s="34"/>
      <c r="W33" s="34"/>
      <c r="X33" s="34"/>
      <c r="Y33" s="34"/>
      <c r="Z33" s="34"/>
      <c r="AA33" s="34"/>
      <c r="AB33" s="34"/>
      <c r="AC33" s="99">
        <v>1</v>
      </c>
      <c r="AD33" s="101"/>
      <c r="AE33" s="34"/>
    </row>
    <row r="34" spans="1:31" x14ac:dyDescent="0.25">
      <c r="A34" s="34"/>
      <c r="B34" s="34"/>
      <c r="C34" s="34"/>
      <c r="D34" s="34"/>
      <c r="E34" s="34"/>
      <c r="F34" s="34"/>
      <c r="G34" s="34"/>
      <c r="H34" s="34"/>
      <c r="I34" s="34"/>
      <c r="J34" s="34"/>
      <c r="K34" s="34"/>
      <c r="L34" s="176" t="s">
        <v>118</v>
      </c>
      <c r="M34" s="179">
        <f>SUM(M5:M8)</f>
        <v>23</v>
      </c>
      <c r="N34" s="180">
        <f t="shared" ref="N34:O34" si="9">SUM(N9:N12)</f>
        <v>24</v>
      </c>
      <c r="O34" s="180">
        <f t="shared" si="9"/>
        <v>37</v>
      </c>
      <c r="P34" s="180">
        <f>SUM(P9:P13)</f>
        <v>46</v>
      </c>
      <c r="Q34" s="180">
        <f>SUM(Q10:Q11,Q14:Q15,Q17)</f>
        <v>20</v>
      </c>
      <c r="R34" s="180">
        <f>SUM(R10:R11,R14:R17)</f>
        <v>34</v>
      </c>
      <c r="S34" s="180">
        <f>SUM(S11,S14,S17:S19)</f>
        <v>16</v>
      </c>
      <c r="T34" s="180">
        <f>SUM(T11,T14:T15,T17:T19)</f>
        <v>35</v>
      </c>
      <c r="U34" s="180">
        <f>SUM(U11,U14,U17,U19)</f>
        <v>21</v>
      </c>
      <c r="V34" s="180">
        <f>SUM(V11,V14,V16:V19)</f>
        <v>30</v>
      </c>
      <c r="W34" s="180">
        <f>SUM(W21:W23,W28)</f>
        <v>33</v>
      </c>
      <c r="X34" s="180">
        <f>SUM(X6,X20:X21,X24)</f>
        <v>52</v>
      </c>
      <c r="Y34" s="180">
        <f>SUM(Y20:Y21,Y23,Y25:Y26)</f>
        <v>33</v>
      </c>
      <c r="Z34" s="180">
        <f>SUM(Z5,Z25:Z27)</f>
        <v>22</v>
      </c>
      <c r="AA34" s="180">
        <f>SUM(AA5,AA7,AA25,AA28:AA29)</f>
        <v>37</v>
      </c>
      <c r="AB34" s="180">
        <f>SUM(AB30:AB32)</f>
        <v>26</v>
      </c>
      <c r="AC34" s="180">
        <f>SUM(AC31:AC33)</f>
        <v>11</v>
      </c>
      <c r="AD34" s="181">
        <f>SUM(AD10:AD13)</f>
        <v>16</v>
      </c>
      <c r="AE34" s="34"/>
    </row>
    <row r="35" spans="1:31" ht="15.75" customHeight="1" x14ac:dyDescent="0.25">
      <c r="A35" s="59"/>
      <c r="B35" s="368" t="s">
        <v>101</v>
      </c>
      <c r="C35" s="109" t="s">
        <v>15</v>
      </c>
      <c r="D35" s="61" t="s">
        <v>16</v>
      </c>
      <c r="E35" s="62" t="s">
        <v>155</v>
      </c>
      <c r="F35" s="63" t="s">
        <v>35</v>
      </c>
      <c r="G35" s="64" t="s">
        <v>20</v>
      </c>
      <c r="H35" s="128" t="s">
        <v>38</v>
      </c>
      <c r="I35" s="34"/>
      <c r="J35" s="177" t="s">
        <v>102</v>
      </c>
      <c r="K35" s="34"/>
      <c r="L35" s="65" t="s">
        <v>103</v>
      </c>
      <c r="M35" s="362" t="s">
        <v>104</v>
      </c>
      <c r="N35" s="316"/>
      <c r="O35" s="316"/>
      <c r="P35" s="316"/>
      <c r="Q35" s="316"/>
      <c r="R35" s="316"/>
      <c r="S35" s="316"/>
      <c r="T35" s="316"/>
      <c r="U35" s="316"/>
      <c r="V35" s="316"/>
      <c r="W35" s="316"/>
      <c r="X35" s="316"/>
      <c r="Y35" s="316"/>
      <c r="Z35" s="316"/>
      <c r="AA35" s="316"/>
      <c r="AB35" s="316"/>
      <c r="AC35" s="316"/>
      <c r="AD35" s="317"/>
      <c r="AE35" s="34"/>
    </row>
    <row r="36" spans="1:31" x14ac:dyDescent="0.25">
      <c r="A36" s="59"/>
      <c r="B36" s="339"/>
      <c r="C36" s="29">
        <v>40</v>
      </c>
      <c r="D36" s="118">
        <v>2</v>
      </c>
      <c r="E36" s="122">
        <v>80</v>
      </c>
      <c r="F36" s="66">
        <v>3</v>
      </c>
      <c r="G36" s="131">
        <v>40</v>
      </c>
      <c r="H36" s="67">
        <v>2</v>
      </c>
      <c r="I36" s="34"/>
      <c r="J36" s="178" t="s">
        <v>132</v>
      </c>
      <c r="K36" s="34"/>
      <c r="L36" s="68" t="s">
        <v>105</v>
      </c>
      <c r="M36" s="69">
        <f>M5*$D$5+M6*$D$6+M7*$D$7+M8*$D$8</f>
        <v>213</v>
      </c>
      <c r="N36" s="69">
        <f t="shared" ref="N36:O36" si="10">N9*$D$9+N10*$D$10+N11*$D$11+N12*$D$12</f>
        <v>221</v>
      </c>
      <c r="O36" s="69">
        <f t="shared" si="10"/>
        <v>299</v>
      </c>
      <c r="P36" s="69">
        <f>P9*$D$9+P10*$D$10+P11*$D$11+P12*$D$12+P13*$D$13</f>
        <v>509</v>
      </c>
      <c r="Q36" s="69">
        <f>Q10*$D$10+Q11*$D$11+Q14*$D$14+Q15*$D$15+Q17*$D$17</f>
        <v>247</v>
      </c>
      <c r="R36" s="69">
        <f>R10*$D$10+R11*$D$11+R14*$D$14+R15*$D$15+R16+$D$16+R17*$D$17</f>
        <v>339</v>
      </c>
      <c r="S36" s="69">
        <f>S11*$D$11+S14*$D$14+S17*$D$17+S18*$D$18+S19*$D$19</f>
        <v>164</v>
      </c>
      <c r="T36" s="69">
        <f>T11*$D$11+T14*$D$14+T15*$D$15+T17*$D$17+T18*$D$18+T19*$D$19</f>
        <v>389</v>
      </c>
      <c r="U36" s="69">
        <f>U11*$D$11+U14*$D$14+U17*$D$17+U19*$D$19</f>
        <v>265</v>
      </c>
      <c r="V36" s="69">
        <f>V11*$D$11+V14*$D$14+V16*$D$16+V17*$D$17+V18*$D$18+V19*$D$19</f>
        <v>354</v>
      </c>
      <c r="W36" s="69">
        <f>W21*$D$21+W22*$D$22+W23*$D$23+W28*$D$28</f>
        <v>715</v>
      </c>
      <c r="X36" s="69">
        <f>X6*$D$6+X20*$D$20+X21*$D$21+X24*$D$24</f>
        <v>952</v>
      </c>
      <c r="Y36" s="69">
        <f>Y20*$D$20+Y21*$D$21+Y23*$D$23+Y25*$D$25+Y26*$D$26</f>
        <v>442</v>
      </c>
      <c r="Z36" s="69">
        <f>Z5*$D$5+Z25*$D$25+Z26*$D$26+Z27*$D$27</f>
        <v>367</v>
      </c>
      <c r="AA36" s="69">
        <f>AA5*$D$5+AA7*$D$7+AA25*$D$25+AA28*$D$28+AA29*$D$29</f>
        <v>319</v>
      </c>
      <c r="AB36" s="69">
        <f>AB30*$D$30+AB31*$D$31+AB32*$D$32</f>
        <v>1100</v>
      </c>
      <c r="AC36" s="69">
        <f>AC31*$D$31+AC32*$D$32+AC33*$D$33</f>
        <v>530</v>
      </c>
      <c r="AD36" s="70" t="s">
        <v>100</v>
      </c>
      <c r="AE36" s="34"/>
    </row>
    <row r="37" spans="1:31" x14ac:dyDescent="0.25">
      <c r="A37" s="34"/>
      <c r="B37" s="369" t="s">
        <v>106</v>
      </c>
      <c r="C37" s="366"/>
      <c r="D37" s="366"/>
      <c r="E37" s="366"/>
      <c r="F37" s="366"/>
      <c r="G37" s="366"/>
      <c r="H37" s="367"/>
      <c r="I37" s="34"/>
      <c r="J37" s="71"/>
      <c r="K37" s="34"/>
      <c r="L37" s="72" t="s">
        <v>107</v>
      </c>
      <c r="M37" s="46" t="s">
        <v>100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73" t="s">
        <v>100</v>
      </c>
      <c r="AE37" s="34"/>
    </row>
    <row r="38" spans="1:31" x14ac:dyDescent="0.25">
      <c r="A38" s="34"/>
      <c r="B38" s="365" t="s">
        <v>108</v>
      </c>
      <c r="C38" s="366"/>
      <c r="D38" s="366"/>
      <c r="E38" s="366"/>
      <c r="F38" s="366"/>
      <c r="G38" s="366"/>
      <c r="H38" s="367"/>
      <c r="I38" s="34"/>
      <c r="J38" s="177" t="s">
        <v>109</v>
      </c>
      <c r="K38" s="34"/>
      <c r="L38" s="26" t="s">
        <v>110</v>
      </c>
      <c r="M38" s="74">
        <v>0</v>
      </c>
      <c r="N38" s="74">
        <v>0</v>
      </c>
      <c r="O38" s="74">
        <v>0</v>
      </c>
      <c r="P38" s="74">
        <v>0</v>
      </c>
      <c r="Q38" s="74">
        <v>0</v>
      </c>
      <c r="R38" s="74">
        <v>0</v>
      </c>
      <c r="S38" s="74">
        <v>0</v>
      </c>
      <c r="T38" s="74">
        <v>0</v>
      </c>
      <c r="U38" s="74">
        <v>0</v>
      </c>
      <c r="V38" s="74">
        <v>0</v>
      </c>
      <c r="W38" s="74">
        <v>0</v>
      </c>
      <c r="X38" s="74">
        <v>0</v>
      </c>
      <c r="Y38" s="74">
        <v>0</v>
      </c>
      <c r="Z38" s="74">
        <v>0</v>
      </c>
      <c r="AA38" s="74">
        <v>0</v>
      </c>
      <c r="AB38" s="74">
        <v>0</v>
      </c>
      <c r="AC38" s="74">
        <v>0</v>
      </c>
      <c r="AD38" s="75">
        <f>AD10+(AD11+AD12)*2+9</f>
        <v>35</v>
      </c>
      <c r="AE38" s="34"/>
    </row>
    <row r="39" spans="1:31" x14ac:dyDescent="0.25">
      <c r="A39" s="34"/>
      <c r="B39" s="365" t="s">
        <v>137</v>
      </c>
      <c r="C39" s="366"/>
      <c r="D39" s="366"/>
      <c r="E39" s="366"/>
      <c r="F39" s="366"/>
      <c r="G39" s="366"/>
      <c r="H39" s="367"/>
      <c r="I39" s="34"/>
      <c r="J39" s="178" t="s">
        <v>132</v>
      </c>
      <c r="K39" s="34"/>
      <c r="L39" s="76" t="s">
        <v>111</v>
      </c>
      <c r="M39" s="77" t="s">
        <v>100</v>
      </c>
      <c r="N39" s="77" t="s">
        <v>100</v>
      </c>
      <c r="O39" s="77">
        <v>0</v>
      </c>
      <c r="P39" s="77">
        <v>0</v>
      </c>
      <c r="Q39" s="77">
        <v>0</v>
      </c>
      <c r="R39" s="77">
        <v>0</v>
      </c>
      <c r="S39" s="77">
        <v>0</v>
      </c>
      <c r="T39" s="77">
        <v>0</v>
      </c>
      <c r="U39" s="77">
        <v>0</v>
      </c>
      <c r="V39" s="77">
        <v>0</v>
      </c>
      <c r="W39" s="77">
        <v>0</v>
      </c>
      <c r="X39" s="77">
        <v>0</v>
      </c>
      <c r="Y39" s="77">
        <v>0</v>
      </c>
      <c r="Z39" s="77">
        <v>0</v>
      </c>
      <c r="AA39" s="77">
        <v>0</v>
      </c>
      <c r="AB39" s="77">
        <v>0</v>
      </c>
      <c r="AC39" s="77">
        <v>0</v>
      </c>
      <c r="AD39" s="78" t="s">
        <v>100</v>
      </c>
      <c r="AE39" s="34"/>
    </row>
    <row r="40" spans="1:31" x14ac:dyDescent="0.25">
      <c r="A40" s="34"/>
      <c r="B40" s="365" t="s">
        <v>112</v>
      </c>
      <c r="C40" s="366"/>
      <c r="D40" s="366"/>
      <c r="E40" s="366"/>
      <c r="F40" s="366"/>
      <c r="G40" s="366"/>
      <c r="H40" s="367"/>
      <c r="I40" s="34"/>
      <c r="J40" s="34"/>
      <c r="K40" s="34"/>
      <c r="L40" s="254" t="s">
        <v>35</v>
      </c>
      <c r="M40" s="255" t="s">
        <v>100</v>
      </c>
      <c r="N40" s="255" t="s">
        <v>100</v>
      </c>
      <c r="O40" s="255" t="s">
        <v>100</v>
      </c>
      <c r="P40" s="255" t="s">
        <v>100</v>
      </c>
      <c r="Q40" s="255">
        <v>0</v>
      </c>
      <c r="R40" s="255">
        <v>0</v>
      </c>
      <c r="S40" s="255">
        <v>0</v>
      </c>
      <c r="T40" s="255">
        <v>0</v>
      </c>
      <c r="U40" s="255">
        <v>0</v>
      </c>
      <c r="V40" s="255">
        <v>0</v>
      </c>
      <c r="W40" s="255">
        <v>0</v>
      </c>
      <c r="X40" s="255">
        <v>0</v>
      </c>
      <c r="Y40" s="255">
        <v>0</v>
      </c>
      <c r="Z40" s="255">
        <v>0</v>
      </c>
      <c r="AA40" s="255">
        <v>0</v>
      </c>
      <c r="AB40" s="255">
        <v>0</v>
      </c>
      <c r="AC40" s="255">
        <v>0</v>
      </c>
      <c r="AD40" s="256" t="s">
        <v>100</v>
      </c>
      <c r="AE40" s="34"/>
    </row>
    <row r="41" spans="1:31" x14ac:dyDescent="0.25">
      <c r="A41" s="34"/>
      <c r="B41" s="358" t="s">
        <v>119</v>
      </c>
      <c r="C41" s="359"/>
      <c r="D41" s="359"/>
      <c r="E41" s="359"/>
      <c r="F41" s="359"/>
      <c r="G41" s="359"/>
      <c r="H41" s="360"/>
      <c r="I41" s="34"/>
      <c r="J41" s="177" t="s">
        <v>120</v>
      </c>
      <c r="K41" s="34"/>
      <c r="L41" s="80" t="s">
        <v>113</v>
      </c>
      <c r="M41" s="81" t="s">
        <v>100</v>
      </c>
      <c r="N41" s="81" t="s">
        <v>100</v>
      </c>
      <c r="O41" s="81" t="s">
        <v>100</v>
      </c>
      <c r="P41" s="81" t="s">
        <v>100</v>
      </c>
      <c r="Q41" s="81" t="s">
        <v>100</v>
      </c>
      <c r="R41" s="81">
        <v>0</v>
      </c>
      <c r="S41" s="82">
        <v>0</v>
      </c>
      <c r="T41" s="82">
        <v>0</v>
      </c>
      <c r="U41" s="82">
        <v>0</v>
      </c>
      <c r="V41" s="82">
        <v>0</v>
      </c>
      <c r="W41" s="82">
        <v>0</v>
      </c>
      <c r="X41" s="82">
        <v>0</v>
      </c>
      <c r="Y41" s="82">
        <v>0</v>
      </c>
      <c r="Z41" s="82">
        <v>0</v>
      </c>
      <c r="AA41" s="82">
        <v>0</v>
      </c>
      <c r="AB41" s="82">
        <v>0</v>
      </c>
      <c r="AC41" s="82">
        <v>0</v>
      </c>
      <c r="AD41" s="83" t="s">
        <v>100</v>
      </c>
      <c r="AE41" s="34"/>
    </row>
    <row r="42" spans="1:31" ht="15.75" customHeight="1" x14ac:dyDescent="0.25">
      <c r="A42" s="59"/>
      <c r="B42" s="345" t="s">
        <v>158</v>
      </c>
      <c r="C42" s="346"/>
      <c r="D42" s="346"/>
      <c r="E42" s="346"/>
      <c r="F42" s="346"/>
      <c r="G42" s="346"/>
      <c r="H42" s="347"/>
      <c r="I42" s="34"/>
      <c r="J42" s="178" t="s">
        <v>132</v>
      </c>
      <c r="K42" s="34"/>
      <c r="L42" s="140" t="s">
        <v>38</v>
      </c>
      <c r="M42" s="141">
        <v>0</v>
      </c>
      <c r="N42" s="141">
        <v>0</v>
      </c>
      <c r="O42" s="141">
        <v>0</v>
      </c>
      <c r="P42" s="141">
        <v>0</v>
      </c>
      <c r="Q42" s="141" t="s">
        <v>100</v>
      </c>
      <c r="R42" s="141" t="s">
        <v>100</v>
      </c>
      <c r="S42" s="141" t="s">
        <v>100</v>
      </c>
      <c r="T42" s="141">
        <v>0</v>
      </c>
      <c r="U42" s="141">
        <v>0</v>
      </c>
      <c r="V42" s="141">
        <v>0</v>
      </c>
      <c r="W42" s="141">
        <v>0</v>
      </c>
      <c r="X42" s="141">
        <v>0</v>
      </c>
      <c r="Y42" s="141">
        <v>0</v>
      </c>
      <c r="Z42" s="141">
        <v>0</v>
      </c>
      <c r="AA42" s="141">
        <v>0</v>
      </c>
      <c r="AB42" s="141">
        <v>0</v>
      </c>
      <c r="AC42" s="142">
        <f>K33</f>
        <v>10</v>
      </c>
      <c r="AD42" s="143" t="s">
        <v>100</v>
      </c>
      <c r="AE42" s="34"/>
    </row>
    <row r="43" spans="1:31" x14ac:dyDescent="0.25">
      <c r="A43" s="59"/>
      <c r="B43" s="348"/>
      <c r="C43" s="349"/>
      <c r="D43" s="349"/>
      <c r="E43" s="349"/>
      <c r="F43" s="349"/>
      <c r="G43" s="349"/>
      <c r="H43" s="350"/>
      <c r="I43" s="34"/>
      <c r="J43" s="34"/>
      <c r="K43" s="34"/>
      <c r="L43" s="34"/>
      <c r="M43" s="34"/>
      <c r="N43" s="34"/>
      <c r="O43" s="34"/>
      <c r="P43" s="34"/>
      <c r="Q43" s="34"/>
      <c r="R43" s="34"/>
      <c r="S43" s="34"/>
      <c r="T43" s="34"/>
      <c r="U43" s="34"/>
      <c r="V43" s="34"/>
      <c r="W43" s="34"/>
      <c r="X43" s="34"/>
      <c r="Y43" s="34"/>
      <c r="Z43" s="34"/>
      <c r="AA43" s="34"/>
      <c r="AB43" s="34"/>
      <c r="AC43" s="34"/>
      <c r="AD43" s="34"/>
      <c r="AE43" s="34"/>
    </row>
    <row r="44" spans="1:31" x14ac:dyDescent="0.25">
      <c r="A44" s="59"/>
      <c r="B44" s="348"/>
      <c r="C44" s="349"/>
      <c r="D44" s="349"/>
      <c r="E44" s="349"/>
      <c r="F44" s="349"/>
      <c r="G44" s="349"/>
      <c r="H44" s="350"/>
      <c r="I44" s="34"/>
      <c r="J44" s="34"/>
      <c r="K44" s="34"/>
      <c r="L44" s="338" t="s">
        <v>7</v>
      </c>
      <c r="M44" s="341" t="s">
        <v>114</v>
      </c>
      <c r="N44" s="342"/>
      <c r="O44" s="342"/>
      <c r="P44" s="342"/>
      <c r="Q44" s="342"/>
      <c r="R44" s="342"/>
      <c r="S44" s="342"/>
      <c r="T44" s="342"/>
      <c r="U44" s="342"/>
      <c r="V44" s="342"/>
      <c r="W44" s="342"/>
      <c r="X44" s="342"/>
      <c r="Y44" s="342"/>
      <c r="Z44" s="342"/>
      <c r="AA44" s="342"/>
      <c r="AB44" s="342"/>
      <c r="AC44" s="342"/>
      <c r="AD44" s="343"/>
      <c r="AE44" s="34"/>
    </row>
    <row r="45" spans="1:31" x14ac:dyDescent="0.25">
      <c r="A45" s="59"/>
      <c r="B45" s="348"/>
      <c r="C45" s="349"/>
      <c r="D45" s="349"/>
      <c r="E45" s="349"/>
      <c r="F45" s="349"/>
      <c r="G45" s="349"/>
      <c r="H45" s="350"/>
      <c r="I45" s="34"/>
      <c r="J45" s="34"/>
      <c r="K45" s="34"/>
      <c r="L45" s="339"/>
      <c r="M45" s="337" t="s">
        <v>15</v>
      </c>
      <c r="N45" s="319"/>
      <c r="O45" s="319"/>
      <c r="P45" s="340" t="s">
        <v>16</v>
      </c>
      <c r="Q45" s="319"/>
      <c r="R45" s="319"/>
      <c r="S45" s="344" t="s">
        <v>17</v>
      </c>
      <c r="T45" s="319"/>
      <c r="U45" s="319"/>
      <c r="V45" s="370" t="s">
        <v>35</v>
      </c>
      <c r="W45" s="371"/>
      <c r="X45" s="372"/>
      <c r="Y45" s="336" t="s">
        <v>20</v>
      </c>
      <c r="Z45" s="319"/>
      <c r="AA45" s="319"/>
      <c r="AB45" s="373" t="s">
        <v>38</v>
      </c>
      <c r="AC45" s="374"/>
      <c r="AD45" s="375"/>
      <c r="AE45" s="34"/>
    </row>
    <row r="46" spans="1:31" x14ac:dyDescent="0.25">
      <c r="A46" s="59"/>
      <c r="B46" s="348"/>
      <c r="C46" s="349"/>
      <c r="D46" s="349"/>
      <c r="E46" s="349"/>
      <c r="F46" s="349"/>
      <c r="G46" s="349"/>
      <c r="H46" s="350"/>
      <c r="I46" s="34"/>
      <c r="J46" s="34"/>
      <c r="K46" s="34"/>
      <c r="L46" s="339"/>
      <c r="M46" s="208" t="s">
        <v>115</v>
      </c>
      <c r="N46" s="209" t="s">
        <v>36</v>
      </c>
      <c r="O46" s="209" t="s">
        <v>116</v>
      </c>
      <c r="P46" s="118" t="s">
        <v>115</v>
      </c>
      <c r="Q46" s="210" t="s">
        <v>36</v>
      </c>
      <c r="R46" s="133" t="s">
        <v>116</v>
      </c>
      <c r="S46" s="211" t="s">
        <v>115</v>
      </c>
      <c r="T46" s="211" t="s">
        <v>36</v>
      </c>
      <c r="U46" s="211" t="s">
        <v>116</v>
      </c>
      <c r="V46" s="93" t="s">
        <v>115</v>
      </c>
      <c r="W46" s="144" t="s">
        <v>36</v>
      </c>
      <c r="X46" s="66" t="s">
        <v>116</v>
      </c>
      <c r="Y46" s="212" t="s">
        <v>115</v>
      </c>
      <c r="Z46" s="212" t="s">
        <v>36</v>
      </c>
      <c r="AA46" s="212" t="s">
        <v>116</v>
      </c>
      <c r="AB46" s="84" t="s">
        <v>115</v>
      </c>
      <c r="AC46" s="213" t="s">
        <v>36</v>
      </c>
      <c r="AD46" s="214" t="s">
        <v>116</v>
      </c>
      <c r="AE46" s="34"/>
    </row>
    <row r="47" spans="1:31" x14ac:dyDescent="0.25">
      <c r="A47" s="59"/>
      <c r="B47" s="348"/>
      <c r="C47" s="349"/>
      <c r="D47" s="349"/>
      <c r="E47" s="349"/>
      <c r="F47" s="349"/>
      <c r="G47" s="349"/>
      <c r="H47" s="350"/>
      <c r="I47" s="34"/>
      <c r="J47" s="34"/>
      <c r="K47" s="34"/>
      <c r="L47" s="85" t="str">
        <f>M4</f>
        <v>Great Wall</v>
      </c>
      <c r="M47" s="215" t="str">
        <f>M37</f>
        <v>--</v>
      </c>
      <c r="N47" s="86">
        <v>1</v>
      </c>
      <c r="O47" s="86">
        <f>IF(ISNUMBER(N47),N47*$C$36,0)-IF(ISNUMBER(M47),M47,0)</f>
        <v>40</v>
      </c>
      <c r="P47" s="61">
        <f>M38</f>
        <v>0</v>
      </c>
      <c r="Q47" s="87">
        <v>1</v>
      </c>
      <c r="R47" s="88">
        <f>2+IF(ISNUMBER(Q47),Q47*$D$36,0)-IF(ISNUMBER(P47),P47,0)</f>
        <v>4</v>
      </c>
      <c r="S47" s="89" t="s">
        <v>100</v>
      </c>
      <c r="T47" s="89" t="s">
        <v>100</v>
      </c>
      <c r="U47" s="89" t="s">
        <v>100</v>
      </c>
      <c r="V47" s="90" t="s">
        <v>100</v>
      </c>
      <c r="W47" s="110" t="s">
        <v>100</v>
      </c>
      <c r="X47" s="63" t="s">
        <v>100</v>
      </c>
      <c r="Y47" s="91" t="s">
        <v>100</v>
      </c>
      <c r="Z47" s="91" t="s">
        <v>100</v>
      </c>
      <c r="AA47" s="91" t="s">
        <v>100</v>
      </c>
      <c r="AB47" s="134">
        <f>M42</f>
        <v>0</v>
      </c>
      <c r="AC47" s="135">
        <v>3</v>
      </c>
      <c r="AD47" s="216">
        <f>IF(ISNUMBER(AC47),AC47*$H$36,0)-IF(ISNUMBER(AB47),AB47,0)</f>
        <v>6</v>
      </c>
      <c r="AE47" s="34"/>
    </row>
    <row r="48" spans="1:31" x14ac:dyDescent="0.25">
      <c r="A48" s="59"/>
      <c r="B48" s="351"/>
      <c r="C48" s="352"/>
      <c r="D48" s="352"/>
      <c r="E48" s="352"/>
      <c r="F48" s="352"/>
      <c r="G48" s="352"/>
      <c r="H48" s="353"/>
      <c r="I48" s="34"/>
      <c r="J48" s="34"/>
      <c r="K48" s="34"/>
      <c r="L48" s="92" t="str">
        <f>N4</f>
        <v>Venice</v>
      </c>
      <c r="M48" s="208">
        <f>N37*2</f>
        <v>0</v>
      </c>
      <c r="N48" s="209">
        <v>9</v>
      </c>
      <c r="O48" s="209">
        <f>O47+IF(ISNUMBER(N48),N48*$C$36,0)-IF(ISNUMBER(M48),M48,0)</f>
        <v>400</v>
      </c>
      <c r="P48" s="118">
        <f>N38</f>
        <v>0</v>
      </c>
      <c r="Q48" s="210">
        <v>3</v>
      </c>
      <c r="R48" s="133">
        <f>R47+IF(ISNUMBER(Q48),Q48*$D$36,0)-IF(ISNUMBER(P48),P48,0)</f>
        <v>10</v>
      </c>
      <c r="S48" s="211" t="s">
        <v>100</v>
      </c>
      <c r="T48" s="211">
        <v>2</v>
      </c>
      <c r="U48" s="211">
        <f>IF(ISNUMBER(T48),T48*$E$36,0)-IF(ISNUMBER(S48),S48,0)</f>
        <v>160</v>
      </c>
      <c r="V48" s="93" t="s">
        <v>100</v>
      </c>
      <c r="W48" s="144" t="s">
        <v>100</v>
      </c>
      <c r="X48" s="66" t="s">
        <v>100</v>
      </c>
      <c r="Y48" s="212" t="s">
        <v>100</v>
      </c>
      <c r="Z48" s="212">
        <v>2</v>
      </c>
      <c r="AA48" s="212">
        <f>IF(ISNUMBER(Z48),Z48*$G$36,0)-IF(ISNUMBER(Y48),Y48,0)</f>
        <v>80</v>
      </c>
      <c r="AB48" s="84">
        <f>N42</f>
        <v>0</v>
      </c>
      <c r="AC48" s="213" t="s">
        <v>100</v>
      </c>
      <c r="AD48" s="214">
        <f>AD47+IF(ISNUMBER(AC48),AC48*$H$36,0)-IF(ISNUMBER(AB48),AB48,0)</f>
        <v>6</v>
      </c>
      <c r="AE48" s="34"/>
    </row>
    <row r="49" spans="1:31" x14ac:dyDescent="0.25">
      <c r="A49" s="34"/>
      <c r="B49" s="34"/>
      <c r="C49" s="34"/>
      <c r="D49" s="34"/>
      <c r="E49" s="34"/>
      <c r="F49" s="34"/>
      <c r="G49" s="34"/>
      <c r="H49" s="34"/>
      <c r="I49" s="34"/>
      <c r="J49" s="34"/>
      <c r="K49" s="34"/>
      <c r="L49" s="94" t="str">
        <f>O4</f>
        <v>Hideout</v>
      </c>
      <c r="M49" s="217">
        <f>O37*2</f>
        <v>0</v>
      </c>
      <c r="N49" s="218">
        <v>3</v>
      </c>
      <c r="O49" s="218">
        <f>O48+IF(ISNUMBER(N49),N49*$C$36,0)-IF(ISNUMBER(M49),M49,0)</f>
        <v>520</v>
      </c>
      <c r="P49" s="95">
        <f>O38</f>
        <v>0</v>
      </c>
      <c r="Q49" s="219">
        <v>7</v>
      </c>
      <c r="R49" s="75">
        <f>R48+IF(ISNUMBER(Q49),Q49*$D$36,0)-IF(ISNUMBER(P49),P49,0)</f>
        <v>24</v>
      </c>
      <c r="S49" s="220">
        <f>O39</f>
        <v>0</v>
      </c>
      <c r="T49" s="220">
        <v>4</v>
      </c>
      <c r="U49" s="220">
        <f t="shared" ref="U49:U63" si="11">U48+IF(ISNUMBER(T49),T49*$E$36,0)-IF(ISNUMBER(S49),S49,0)</f>
        <v>480</v>
      </c>
      <c r="V49" s="96" t="s">
        <v>100</v>
      </c>
      <c r="W49" s="221" t="s">
        <v>100</v>
      </c>
      <c r="X49" s="79" t="s">
        <v>100</v>
      </c>
      <c r="Y49" s="222" t="s">
        <v>100</v>
      </c>
      <c r="Z49" s="222" t="s">
        <v>100</v>
      </c>
      <c r="AA49" s="222">
        <f>AA48+IF(ISNUMBER(Z49),Z49*$G$36,0)-IF(ISNUMBER(Y49),Y49,0)</f>
        <v>80</v>
      </c>
      <c r="AB49" s="136">
        <f>O42</f>
        <v>0</v>
      </c>
      <c r="AC49" s="223">
        <v>2</v>
      </c>
      <c r="AD49" s="224">
        <f t="shared" ref="AD49:AD63" si="12">AD48+IF(ISNUMBER(AC49),AC49*$H$36,0)-IF(ISNUMBER(AB49),AB49,0)</f>
        <v>10</v>
      </c>
      <c r="AE49" s="34"/>
    </row>
    <row r="50" spans="1:31" x14ac:dyDescent="0.25">
      <c r="A50" s="34"/>
      <c r="B50" s="34"/>
      <c r="C50" s="34"/>
      <c r="D50" s="34"/>
      <c r="E50" s="34"/>
      <c r="F50" s="34"/>
      <c r="G50" s="34"/>
      <c r="H50" s="34"/>
      <c r="I50" s="34"/>
      <c r="J50" s="34"/>
      <c r="K50" s="34"/>
      <c r="L50" s="92" t="str">
        <f>P4</f>
        <v>Opera</v>
      </c>
      <c r="M50" s="208">
        <f>P37*2</f>
        <v>0</v>
      </c>
      <c r="N50" s="209">
        <v>4</v>
      </c>
      <c r="O50" s="209">
        <f t="shared" ref="O50:O63" si="13">O49+IF(ISNUMBER(N50),N50*$C$36,0)-IF(ISNUMBER(M50),M50,0)</f>
        <v>680</v>
      </c>
      <c r="P50" s="118">
        <f>P38</f>
        <v>0</v>
      </c>
      <c r="Q50" s="210">
        <v>5</v>
      </c>
      <c r="R50" s="133">
        <f>R49+IF(ISNUMBER(Q50),Q50*$D$36,0)-IF(ISNUMBER(P50),P50,0)</f>
        <v>34</v>
      </c>
      <c r="S50" s="211">
        <f>P39</f>
        <v>0</v>
      </c>
      <c r="T50" s="211">
        <v>8</v>
      </c>
      <c r="U50" s="211">
        <f t="shared" si="11"/>
        <v>1120</v>
      </c>
      <c r="V50" s="93" t="s">
        <v>100</v>
      </c>
      <c r="W50" s="144" t="s">
        <v>100</v>
      </c>
      <c r="X50" s="66" t="s">
        <v>100</v>
      </c>
      <c r="Y50" s="212" t="s">
        <v>100</v>
      </c>
      <c r="Z50" s="212" t="s">
        <v>100</v>
      </c>
      <c r="AA50" s="212">
        <f t="shared" ref="AA50:AA53" si="14">AA49+IF(ISNUMBER(Z50),Z50*$G$36,0)-IF(ISNUMBER(Y50),Y50,0)</f>
        <v>80</v>
      </c>
      <c r="AB50" s="84">
        <f>P42</f>
        <v>0</v>
      </c>
      <c r="AC50" s="213">
        <v>3</v>
      </c>
      <c r="AD50" s="214">
        <f t="shared" si="12"/>
        <v>16</v>
      </c>
      <c r="AE50" s="34"/>
    </row>
    <row r="51" spans="1:31" x14ac:dyDescent="0.25">
      <c r="A51" s="34"/>
      <c r="B51" s="34"/>
      <c r="C51" s="34"/>
      <c r="D51" s="34"/>
      <c r="E51" s="34"/>
      <c r="F51" s="34"/>
      <c r="G51" s="34"/>
      <c r="H51" s="34"/>
      <c r="I51" s="34"/>
      <c r="J51" s="34"/>
      <c r="K51" s="34"/>
      <c r="L51" s="94" t="str">
        <f>Q4</f>
        <v>Offshore</v>
      </c>
      <c r="M51" s="217">
        <f>Q37*2</f>
        <v>0</v>
      </c>
      <c r="N51" s="218">
        <v>4</v>
      </c>
      <c r="O51" s="218">
        <f t="shared" si="13"/>
        <v>840</v>
      </c>
      <c r="P51" s="95">
        <f>Q38</f>
        <v>0</v>
      </c>
      <c r="Q51" s="219">
        <v>4</v>
      </c>
      <c r="R51" s="75">
        <f t="shared" ref="R51:R63" si="15">R50+IF(ISNUMBER(Q51),Q51*$D$36,0)-IF(ISNUMBER(P51),P51,0)</f>
        <v>42</v>
      </c>
      <c r="S51" s="220">
        <f>Q39</f>
        <v>0</v>
      </c>
      <c r="T51" s="220">
        <v>4</v>
      </c>
      <c r="U51" s="220">
        <f t="shared" si="11"/>
        <v>1440</v>
      </c>
      <c r="V51" s="96">
        <f>Q40</f>
        <v>0</v>
      </c>
      <c r="W51" s="221">
        <v>4</v>
      </c>
      <c r="X51" s="79">
        <f>IF(ISNUMBER(W51),W51*$F$36,0)-IF(ISNUMBER(V51),V51,0)</f>
        <v>12</v>
      </c>
      <c r="Y51" s="222" t="s">
        <v>100</v>
      </c>
      <c r="Z51" s="222" t="s">
        <v>100</v>
      </c>
      <c r="AA51" s="222">
        <f t="shared" si="14"/>
        <v>80</v>
      </c>
      <c r="AB51" s="136" t="s">
        <v>100</v>
      </c>
      <c r="AC51" s="223" t="s">
        <v>100</v>
      </c>
      <c r="AD51" s="224">
        <f t="shared" si="12"/>
        <v>16</v>
      </c>
      <c r="AE51" s="34"/>
    </row>
    <row r="52" spans="1:31" x14ac:dyDescent="0.25">
      <c r="A52" s="34"/>
      <c r="B52" s="34"/>
      <c r="C52" s="34"/>
      <c r="D52" s="34"/>
      <c r="E52" s="34"/>
      <c r="F52" s="34"/>
      <c r="G52" s="34"/>
      <c r="H52" s="34"/>
      <c r="I52" s="34"/>
      <c r="J52" s="34"/>
      <c r="K52" s="34"/>
      <c r="L52" s="92" t="str">
        <f>R4</f>
        <v>Diving</v>
      </c>
      <c r="M52" s="208">
        <f>R37*2</f>
        <v>0</v>
      </c>
      <c r="N52" s="209">
        <v>4</v>
      </c>
      <c r="O52" s="209">
        <f t="shared" si="13"/>
        <v>1000</v>
      </c>
      <c r="P52" s="118">
        <f>R38</f>
        <v>0</v>
      </c>
      <c r="Q52" s="210">
        <v>3</v>
      </c>
      <c r="R52" s="133">
        <f t="shared" si="15"/>
        <v>48</v>
      </c>
      <c r="S52" s="211">
        <f>R39</f>
        <v>0</v>
      </c>
      <c r="T52" s="211">
        <v>8</v>
      </c>
      <c r="U52" s="211">
        <f t="shared" si="11"/>
        <v>2080</v>
      </c>
      <c r="V52" s="93">
        <f>R40</f>
        <v>0</v>
      </c>
      <c r="W52" s="144">
        <v>4</v>
      </c>
      <c r="X52" s="66">
        <f>X51+IF(ISNUMBER(W52),W52*$F$36,0)-IF(ISNUMBER(V52),V52,0)</f>
        <v>24</v>
      </c>
      <c r="Y52" s="212">
        <f>R41</f>
        <v>0</v>
      </c>
      <c r="Z52" s="212">
        <v>4</v>
      </c>
      <c r="AA52" s="212">
        <f t="shared" si="14"/>
        <v>240</v>
      </c>
      <c r="AB52" s="84" t="s">
        <v>100</v>
      </c>
      <c r="AC52" s="213">
        <v>2</v>
      </c>
      <c r="AD52" s="214">
        <f t="shared" si="12"/>
        <v>20</v>
      </c>
      <c r="AE52" s="34"/>
    </row>
    <row r="53" spans="1:31" x14ac:dyDescent="0.25">
      <c r="A53" s="34"/>
      <c r="B53" s="34"/>
      <c r="C53" s="34"/>
      <c r="D53" s="34"/>
      <c r="E53" s="34"/>
      <c r="F53" s="34"/>
      <c r="G53" s="34"/>
      <c r="H53" s="34"/>
      <c r="I53" s="34"/>
      <c r="J53" s="34"/>
      <c r="K53" s="34"/>
      <c r="L53" s="94" t="str">
        <f>S4</f>
        <v>Fathoms</v>
      </c>
      <c r="M53" s="217">
        <f>S37*2</f>
        <v>0</v>
      </c>
      <c r="N53" s="218" t="s">
        <v>100</v>
      </c>
      <c r="O53" s="218">
        <f t="shared" si="13"/>
        <v>1000</v>
      </c>
      <c r="P53" s="95">
        <f>S38</f>
        <v>0</v>
      </c>
      <c r="Q53" s="219">
        <v>2</v>
      </c>
      <c r="R53" s="75">
        <f t="shared" si="15"/>
        <v>52</v>
      </c>
      <c r="S53" s="220">
        <f>S39</f>
        <v>0</v>
      </c>
      <c r="T53" s="250" t="s">
        <v>100</v>
      </c>
      <c r="U53" s="220">
        <f t="shared" si="11"/>
        <v>2080</v>
      </c>
      <c r="V53" s="96">
        <f>S40</f>
        <v>0</v>
      </c>
      <c r="W53" s="221">
        <v>7</v>
      </c>
      <c r="X53" s="79">
        <f>X52+IF(ISNUMBER(W53),W53*$F$36,0)-IF(ISNUMBER(V53),V53,0)</f>
        <v>45</v>
      </c>
      <c r="Y53" s="222">
        <f>S41</f>
        <v>0</v>
      </c>
      <c r="Z53" s="222" t="s">
        <v>100</v>
      </c>
      <c r="AA53" s="222">
        <f t="shared" si="14"/>
        <v>240</v>
      </c>
      <c r="AB53" s="136" t="s">
        <v>100</v>
      </c>
      <c r="AC53" s="223" t="s">
        <v>100</v>
      </c>
      <c r="AD53" s="224">
        <f t="shared" si="12"/>
        <v>20</v>
      </c>
      <c r="AE53" s="34"/>
    </row>
    <row r="54" spans="1:31" x14ac:dyDescent="0.25">
      <c r="A54" s="34"/>
      <c r="B54" s="34"/>
      <c r="C54" s="34"/>
      <c r="D54" s="34"/>
      <c r="E54" s="34"/>
      <c r="F54" s="34"/>
      <c r="G54" s="34"/>
      <c r="H54" s="34"/>
      <c r="I54" s="34"/>
      <c r="J54" s="34"/>
      <c r="K54" s="34"/>
      <c r="L54" s="92" t="str">
        <f>T4</f>
        <v>Maria Doria</v>
      </c>
      <c r="M54" s="208">
        <f>T37*2</f>
        <v>0</v>
      </c>
      <c r="N54" s="209">
        <v>4</v>
      </c>
      <c r="O54" s="209">
        <f t="shared" si="13"/>
        <v>1160</v>
      </c>
      <c r="P54" s="118">
        <f>T38</f>
        <v>0</v>
      </c>
      <c r="Q54" s="210">
        <v>2</v>
      </c>
      <c r="R54" s="133">
        <f t="shared" si="15"/>
        <v>56</v>
      </c>
      <c r="S54" s="211">
        <f>T39</f>
        <v>0</v>
      </c>
      <c r="T54" s="211">
        <v>2</v>
      </c>
      <c r="U54" s="211">
        <f t="shared" si="11"/>
        <v>2240</v>
      </c>
      <c r="V54" s="93">
        <f>T40</f>
        <v>0</v>
      </c>
      <c r="W54" s="144">
        <v>6</v>
      </c>
      <c r="X54" s="66">
        <f>X53+IF(ISNUMBER(W54),W54*$F$36,0)-IF(ISNUMBER(V54),V54,0)</f>
        <v>63</v>
      </c>
      <c r="Y54" s="212">
        <f>T41</f>
        <v>0</v>
      </c>
      <c r="Z54" s="212">
        <v>4</v>
      </c>
      <c r="AA54" s="212">
        <f>AA53+IF(ISNUMBER(Z54),Z54*$G$36,0)-IF(ISNUMBER(Y54),Y54,0)</f>
        <v>400</v>
      </c>
      <c r="AB54" s="84">
        <f>T42</f>
        <v>0</v>
      </c>
      <c r="AC54" s="213">
        <v>3</v>
      </c>
      <c r="AD54" s="214">
        <f>AD53+IF(ISNUMBER(AC54),AC54*$H$36,0)-IF(ISNUMBER(AB54),AB54,0)</f>
        <v>26</v>
      </c>
      <c r="AE54" s="34"/>
    </row>
    <row r="55" spans="1:31" x14ac:dyDescent="0.25">
      <c r="A55" s="34"/>
      <c r="B55" s="34"/>
      <c r="C55" s="34"/>
      <c r="D55" s="34"/>
      <c r="E55" s="34"/>
      <c r="F55" s="34"/>
      <c r="G55" s="34"/>
      <c r="H55" s="34"/>
      <c r="I55" s="34"/>
      <c r="J55" s="34"/>
      <c r="K55" s="34"/>
      <c r="L55" s="94" t="str">
        <f>U4</f>
        <v>Living</v>
      </c>
      <c r="M55" s="217">
        <f>U37*2</f>
        <v>0</v>
      </c>
      <c r="N55" s="218">
        <v>2</v>
      </c>
      <c r="O55" s="218">
        <f t="shared" si="13"/>
        <v>1240</v>
      </c>
      <c r="P55" s="95">
        <f>U38</f>
        <v>0</v>
      </c>
      <c r="Q55" s="219">
        <v>3</v>
      </c>
      <c r="R55" s="75">
        <f t="shared" si="15"/>
        <v>62</v>
      </c>
      <c r="S55" s="220">
        <f>U39</f>
        <v>0</v>
      </c>
      <c r="T55" s="220">
        <v>1</v>
      </c>
      <c r="U55" s="220">
        <f t="shared" si="11"/>
        <v>2320</v>
      </c>
      <c r="V55" s="96">
        <f>U40</f>
        <v>0</v>
      </c>
      <c r="W55" s="221">
        <v>1</v>
      </c>
      <c r="X55" s="79">
        <f t="shared" ref="X55:X63" si="16">X54+IF(ISNUMBER(W55),W55*$F$36,0)-IF(ISNUMBER(V55),V55,0)</f>
        <v>66</v>
      </c>
      <c r="Y55" s="222">
        <f>U41</f>
        <v>0</v>
      </c>
      <c r="Z55" s="222">
        <v>4</v>
      </c>
      <c r="AA55" s="222">
        <f>AA54+IF(ISNUMBER(Z55),Z55*$G$36,0)-IF(ISNUMBER(Y55),Y55,0)</f>
        <v>560</v>
      </c>
      <c r="AB55" s="136">
        <f>U42</f>
        <v>0</v>
      </c>
      <c r="AC55" s="223" t="s">
        <v>117</v>
      </c>
      <c r="AD55" s="224">
        <f t="shared" si="12"/>
        <v>26</v>
      </c>
      <c r="AE55" s="34"/>
    </row>
    <row r="56" spans="1:31" x14ac:dyDescent="0.25">
      <c r="A56" s="34"/>
      <c r="B56" s="34"/>
      <c r="C56" s="34"/>
      <c r="D56" s="34"/>
      <c r="E56" s="34"/>
      <c r="F56" s="34"/>
      <c r="G56" s="34"/>
      <c r="H56" s="34"/>
      <c r="I56" s="34"/>
      <c r="J56" s="34"/>
      <c r="K56" s="34"/>
      <c r="L56" s="92" t="str">
        <f>V4</f>
        <v>The Deck</v>
      </c>
      <c r="M56" s="208">
        <f>V37*2</f>
        <v>0</v>
      </c>
      <c r="N56" s="209">
        <v>4</v>
      </c>
      <c r="O56" s="209">
        <f t="shared" si="13"/>
        <v>1400</v>
      </c>
      <c r="P56" s="118">
        <f>V38</f>
        <v>0</v>
      </c>
      <c r="Q56" s="210">
        <v>2</v>
      </c>
      <c r="R56" s="133">
        <f t="shared" si="15"/>
        <v>66</v>
      </c>
      <c r="S56" s="211">
        <f>V39</f>
        <v>0</v>
      </c>
      <c r="T56" s="211">
        <v>3</v>
      </c>
      <c r="U56" s="211">
        <f t="shared" si="11"/>
        <v>2560</v>
      </c>
      <c r="V56" s="93">
        <f>V40</f>
        <v>0</v>
      </c>
      <c r="W56" s="144">
        <v>2</v>
      </c>
      <c r="X56" s="66">
        <f t="shared" si="16"/>
        <v>72</v>
      </c>
      <c r="Y56" s="212">
        <f>V41</f>
        <v>0</v>
      </c>
      <c r="Z56" s="212">
        <v>4</v>
      </c>
      <c r="AA56" s="212">
        <f t="shared" ref="AA56:AA57" si="17">AA55+IF(ISNUMBER(Z56),Z56*$G$36,0)-IF(ISNUMBER(Y56),Y56,0)</f>
        <v>720</v>
      </c>
      <c r="AB56" s="84">
        <f>V42</f>
        <v>0</v>
      </c>
      <c r="AC56" s="213">
        <v>8</v>
      </c>
      <c r="AD56" s="214">
        <f>AD55+IF(ISNUMBER(AC56),AC56*$H$36,0)-IF(ISNUMBER(AB56),AB56,0)</f>
        <v>42</v>
      </c>
      <c r="AE56" s="34"/>
    </row>
    <row r="57" spans="1:31" x14ac:dyDescent="0.25">
      <c r="A57" s="34"/>
      <c r="B57" s="34"/>
      <c r="C57" s="34"/>
      <c r="D57" s="34"/>
      <c r="E57" s="34"/>
      <c r="F57" s="34"/>
      <c r="G57" s="34"/>
      <c r="H57" s="34"/>
      <c r="I57" s="34"/>
      <c r="J57" s="34"/>
      <c r="K57" s="34"/>
      <c r="L57" s="94" t="str">
        <f>W4</f>
        <v>Foothills</v>
      </c>
      <c r="M57" s="217">
        <f>W37*2</f>
        <v>0</v>
      </c>
      <c r="N57" s="218">
        <v>5</v>
      </c>
      <c r="O57" s="218">
        <f t="shared" si="13"/>
        <v>1600</v>
      </c>
      <c r="P57" s="95">
        <f>W38</f>
        <v>0</v>
      </c>
      <c r="Q57" s="219">
        <v>1</v>
      </c>
      <c r="R57" s="75">
        <f t="shared" si="15"/>
        <v>68</v>
      </c>
      <c r="S57" s="220">
        <f>W39</f>
        <v>0</v>
      </c>
      <c r="T57" s="220">
        <v>7</v>
      </c>
      <c r="U57" s="220">
        <f t="shared" si="11"/>
        <v>3120</v>
      </c>
      <c r="V57" s="96">
        <f>W40</f>
        <v>0</v>
      </c>
      <c r="W57" s="221" t="s">
        <v>100</v>
      </c>
      <c r="X57" s="79">
        <f t="shared" si="16"/>
        <v>72</v>
      </c>
      <c r="Y57" s="222">
        <f>W41</f>
        <v>0</v>
      </c>
      <c r="Z57" s="222">
        <v>3</v>
      </c>
      <c r="AA57" s="222">
        <f t="shared" si="17"/>
        <v>840</v>
      </c>
      <c r="AB57" s="136">
        <f>W42</f>
        <v>0</v>
      </c>
      <c r="AC57" s="223">
        <v>4</v>
      </c>
      <c r="AD57" s="224">
        <f t="shared" si="12"/>
        <v>50</v>
      </c>
      <c r="AE57" s="34"/>
    </row>
    <row r="58" spans="1:31" x14ac:dyDescent="0.25">
      <c r="A58" s="34"/>
      <c r="B58" s="34"/>
      <c r="C58" s="34"/>
      <c r="D58" s="34"/>
      <c r="E58" s="34"/>
      <c r="F58" s="34"/>
      <c r="G58" s="34"/>
      <c r="H58" s="34"/>
      <c r="I58" s="34"/>
      <c r="J58" s="34"/>
      <c r="K58" s="34"/>
      <c r="L58" s="92" t="str">
        <f>X4</f>
        <v>Barkhang</v>
      </c>
      <c r="M58" s="208">
        <f>X37*2</f>
        <v>0</v>
      </c>
      <c r="N58" s="209">
        <v>4</v>
      </c>
      <c r="O58" s="209">
        <f t="shared" si="13"/>
        <v>1760</v>
      </c>
      <c r="P58" s="118">
        <f>X38</f>
        <v>0</v>
      </c>
      <c r="Q58" s="210">
        <v>2</v>
      </c>
      <c r="R58" s="133">
        <f t="shared" si="15"/>
        <v>72</v>
      </c>
      <c r="S58" s="211">
        <f>X39</f>
        <v>0</v>
      </c>
      <c r="T58" s="211">
        <v>5</v>
      </c>
      <c r="U58" s="211">
        <f t="shared" si="11"/>
        <v>3520</v>
      </c>
      <c r="V58" s="93">
        <f>X40</f>
        <v>0</v>
      </c>
      <c r="W58" s="144">
        <v>2</v>
      </c>
      <c r="X58" s="66">
        <f t="shared" si="16"/>
        <v>78</v>
      </c>
      <c r="Y58" s="212">
        <f>X41</f>
        <v>0</v>
      </c>
      <c r="Z58" s="212">
        <v>6</v>
      </c>
      <c r="AA58" s="212">
        <f>AA57+IF(ISNUMBER(Z58),Z58*$G$36,0)-IF(ISNUMBER(Y58),Y58,0)</f>
        <v>1080</v>
      </c>
      <c r="AB58" s="84">
        <f>X42</f>
        <v>0</v>
      </c>
      <c r="AC58" s="213">
        <v>2</v>
      </c>
      <c r="AD58" s="214">
        <f t="shared" si="12"/>
        <v>54</v>
      </c>
      <c r="AE58" s="34"/>
    </row>
    <row r="59" spans="1:31" x14ac:dyDescent="0.25">
      <c r="A59" s="34"/>
      <c r="B59" s="34"/>
      <c r="C59" s="34"/>
      <c r="D59" s="34"/>
      <c r="E59" s="34"/>
      <c r="F59" s="34"/>
      <c r="G59" s="34"/>
      <c r="H59" s="34"/>
      <c r="I59" s="34"/>
      <c r="J59" s="34"/>
      <c r="K59" s="34"/>
      <c r="L59" s="94" t="str">
        <f>Y4</f>
        <v>Catacombs</v>
      </c>
      <c r="M59" s="217">
        <f>Y37*2</f>
        <v>0</v>
      </c>
      <c r="N59" s="218">
        <v>5</v>
      </c>
      <c r="O59" s="218">
        <f t="shared" si="13"/>
        <v>1960</v>
      </c>
      <c r="P59" s="95">
        <f>Y38</f>
        <v>0</v>
      </c>
      <c r="Q59" s="219">
        <v>2</v>
      </c>
      <c r="R59" s="75">
        <f t="shared" si="15"/>
        <v>76</v>
      </c>
      <c r="S59" s="220">
        <f>Y39</f>
        <v>0</v>
      </c>
      <c r="T59" s="220">
        <v>6</v>
      </c>
      <c r="U59" s="220">
        <f t="shared" si="11"/>
        <v>4000</v>
      </c>
      <c r="V59" s="96">
        <f>Y40</f>
        <v>0</v>
      </c>
      <c r="W59" s="221" t="s">
        <v>100</v>
      </c>
      <c r="X59" s="79">
        <f t="shared" si="16"/>
        <v>78</v>
      </c>
      <c r="Y59" s="222">
        <f>Y41</f>
        <v>0</v>
      </c>
      <c r="Z59" s="222">
        <v>5</v>
      </c>
      <c r="AA59" s="222">
        <f>AA58+IF(ISNUMBER(Z59),Z59*$G$36,0)-IF(ISNUMBER(Y59),Y59,0)</f>
        <v>1280</v>
      </c>
      <c r="AB59" s="136">
        <f>Y42</f>
        <v>0</v>
      </c>
      <c r="AC59" s="223">
        <v>8</v>
      </c>
      <c r="AD59" s="224">
        <f>AD58+IF(ISNUMBER(AC59),AC59*$H$36,0)-IF(ISNUMBER(AB59),AB59,0)</f>
        <v>70</v>
      </c>
      <c r="AE59" s="34"/>
    </row>
    <row r="60" spans="1:31" x14ac:dyDescent="0.25">
      <c r="A60" s="34"/>
      <c r="B60" s="34"/>
      <c r="C60" s="34"/>
      <c r="D60" s="34"/>
      <c r="E60" s="34"/>
      <c r="F60" s="34"/>
      <c r="G60" s="34"/>
      <c r="H60" s="34"/>
      <c r="I60" s="34"/>
      <c r="J60" s="34"/>
      <c r="K60" s="34"/>
      <c r="L60" s="92" t="str">
        <f>Z4</f>
        <v>Ice Palace</v>
      </c>
      <c r="M60" s="208">
        <f>Z37*2</f>
        <v>0</v>
      </c>
      <c r="N60" s="209">
        <v>2</v>
      </c>
      <c r="O60" s="209">
        <f t="shared" si="13"/>
        <v>2040</v>
      </c>
      <c r="P60" s="118">
        <f>Z38</f>
        <v>0</v>
      </c>
      <c r="Q60" s="210">
        <v>2</v>
      </c>
      <c r="R60" s="133">
        <f t="shared" si="15"/>
        <v>80</v>
      </c>
      <c r="S60" s="211">
        <f>Z39</f>
        <v>0</v>
      </c>
      <c r="T60" s="211">
        <v>6</v>
      </c>
      <c r="U60" s="211">
        <f t="shared" si="11"/>
        <v>4480</v>
      </c>
      <c r="V60" s="93">
        <f>Z40</f>
        <v>0</v>
      </c>
      <c r="W60" s="144" t="s">
        <v>100</v>
      </c>
      <c r="X60" s="66">
        <f t="shared" si="16"/>
        <v>78</v>
      </c>
      <c r="Y60" s="212">
        <f>Z41</f>
        <v>0</v>
      </c>
      <c r="Z60" s="212" t="s">
        <v>100</v>
      </c>
      <c r="AA60" s="212">
        <f t="shared" ref="AA60:AA63" si="18">AA59+IF(ISNUMBER(Z60),Z60*$G$36,0)-IF(ISNUMBER(Y60),Y60,0)</f>
        <v>1280</v>
      </c>
      <c r="AB60" s="84">
        <f>Z42</f>
        <v>0</v>
      </c>
      <c r="AC60" s="213">
        <v>8</v>
      </c>
      <c r="AD60" s="214">
        <f>AD59+IF(ISNUMBER(AC60),AC60*$H$36,0)-IF(ISNUMBER(AB60),AB60,0)</f>
        <v>86</v>
      </c>
      <c r="AE60" s="34"/>
    </row>
    <row r="61" spans="1:31" x14ac:dyDescent="0.25">
      <c r="A61" s="34"/>
      <c r="B61" s="34"/>
      <c r="C61" s="34"/>
      <c r="D61" s="34"/>
      <c r="E61" s="34"/>
      <c r="F61" s="34"/>
      <c r="G61" s="34"/>
      <c r="H61" s="34"/>
      <c r="I61" s="34"/>
      <c r="J61" s="34"/>
      <c r="K61" s="34"/>
      <c r="L61" s="94" t="str">
        <f>AA4</f>
        <v>Xian</v>
      </c>
      <c r="M61" s="217">
        <f>AA37*2</f>
        <v>0</v>
      </c>
      <c r="N61" s="218">
        <v>4</v>
      </c>
      <c r="O61" s="218">
        <f t="shared" si="13"/>
        <v>2200</v>
      </c>
      <c r="P61" s="95">
        <f>AA38</f>
        <v>0</v>
      </c>
      <c r="Q61" s="219">
        <v>4</v>
      </c>
      <c r="R61" s="75">
        <f t="shared" si="15"/>
        <v>88</v>
      </c>
      <c r="S61" s="220">
        <f>AA39</f>
        <v>0</v>
      </c>
      <c r="T61" s="220">
        <v>12</v>
      </c>
      <c r="U61" s="220">
        <f t="shared" si="11"/>
        <v>5440</v>
      </c>
      <c r="V61" s="96">
        <f>AA40</f>
        <v>0</v>
      </c>
      <c r="W61" s="221" t="s">
        <v>100</v>
      </c>
      <c r="X61" s="79">
        <f t="shared" si="16"/>
        <v>78</v>
      </c>
      <c r="Y61" s="222">
        <f>AA41</f>
        <v>0</v>
      </c>
      <c r="Z61" s="222">
        <v>2</v>
      </c>
      <c r="AA61" s="222">
        <f t="shared" si="18"/>
        <v>1360</v>
      </c>
      <c r="AB61" s="136">
        <f>AA42</f>
        <v>0</v>
      </c>
      <c r="AC61" s="223">
        <v>2</v>
      </c>
      <c r="AD61" s="224">
        <f t="shared" si="12"/>
        <v>90</v>
      </c>
      <c r="AE61" s="34"/>
    </row>
    <row r="62" spans="1:31" x14ac:dyDescent="0.25">
      <c r="A62" s="34"/>
      <c r="B62" s="34"/>
      <c r="C62" s="34"/>
      <c r="D62" s="34"/>
      <c r="E62" s="34"/>
      <c r="F62" s="34"/>
      <c r="G62" s="34"/>
      <c r="H62" s="34"/>
      <c r="I62" s="34"/>
      <c r="J62" s="34"/>
      <c r="K62" s="34"/>
      <c r="L62" s="92" t="str">
        <f>AB4</f>
        <v>Floating</v>
      </c>
      <c r="M62" s="208">
        <f>AB37*2</f>
        <v>0</v>
      </c>
      <c r="N62" s="209">
        <v>3</v>
      </c>
      <c r="O62" s="209">
        <f t="shared" si="13"/>
        <v>2320</v>
      </c>
      <c r="P62" s="118">
        <f>AB38</f>
        <v>0</v>
      </c>
      <c r="Q62" s="210">
        <v>5</v>
      </c>
      <c r="R62" s="133">
        <f t="shared" si="15"/>
        <v>98</v>
      </c>
      <c r="S62" s="211">
        <f>AB39</f>
        <v>0</v>
      </c>
      <c r="T62" s="211">
        <v>7</v>
      </c>
      <c r="U62" s="211">
        <f t="shared" si="11"/>
        <v>6000</v>
      </c>
      <c r="V62" s="93">
        <f>AB40</f>
        <v>0</v>
      </c>
      <c r="W62" s="144" t="s">
        <v>100</v>
      </c>
      <c r="X62" s="66">
        <f t="shared" si="16"/>
        <v>78</v>
      </c>
      <c r="Y62" s="212">
        <f>AB41</f>
        <v>0</v>
      </c>
      <c r="Z62" s="212">
        <v>2</v>
      </c>
      <c r="AA62" s="212">
        <f t="shared" si="18"/>
        <v>1440</v>
      </c>
      <c r="AB62" s="84">
        <f>AB42</f>
        <v>0</v>
      </c>
      <c r="AC62" s="213">
        <v>10</v>
      </c>
      <c r="AD62" s="214">
        <f>AD61+IF(ISNUMBER(AC62),AC62*$H$36,0)-IF(ISNUMBER(AB62),AB62,0)+IF(AB$34="Yes",16,0)</f>
        <v>110</v>
      </c>
      <c r="AE62" s="34"/>
    </row>
    <row r="63" spans="1:31" x14ac:dyDescent="0.25">
      <c r="A63" s="34"/>
      <c r="B63" s="34"/>
      <c r="C63" s="34"/>
      <c r="D63" s="34"/>
      <c r="E63" s="34"/>
      <c r="F63" s="34"/>
      <c r="G63" s="34"/>
      <c r="H63" s="34"/>
      <c r="I63" s="34"/>
      <c r="J63" s="34"/>
      <c r="K63" s="34"/>
      <c r="L63" s="94" t="str">
        <f>AC4</f>
        <v>Dragon</v>
      </c>
      <c r="M63" s="217">
        <f>AC37*2</f>
        <v>0</v>
      </c>
      <c r="N63" s="218" t="s">
        <v>100</v>
      </c>
      <c r="O63" s="218">
        <f t="shared" si="13"/>
        <v>2320</v>
      </c>
      <c r="P63" s="95">
        <f>AC38</f>
        <v>0</v>
      </c>
      <c r="Q63" s="219" t="s">
        <v>100</v>
      </c>
      <c r="R63" s="75">
        <f t="shared" si="15"/>
        <v>98</v>
      </c>
      <c r="S63" s="220">
        <f>AC39</f>
        <v>0</v>
      </c>
      <c r="T63" s="220">
        <v>18</v>
      </c>
      <c r="U63" s="220">
        <f t="shared" si="11"/>
        <v>7440</v>
      </c>
      <c r="V63" s="96">
        <f>AC40</f>
        <v>0</v>
      </c>
      <c r="W63" s="221" t="s">
        <v>100</v>
      </c>
      <c r="X63" s="79">
        <f t="shared" si="16"/>
        <v>78</v>
      </c>
      <c r="Y63" s="222">
        <f>AC41</f>
        <v>0</v>
      </c>
      <c r="Z63" s="222" t="s">
        <v>100</v>
      </c>
      <c r="AA63" s="222">
        <f t="shared" si="18"/>
        <v>1440</v>
      </c>
      <c r="AB63" s="136">
        <f>AC42</f>
        <v>10</v>
      </c>
      <c r="AC63" s="223" t="s">
        <v>100</v>
      </c>
      <c r="AD63" s="224">
        <f t="shared" si="12"/>
        <v>100</v>
      </c>
      <c r="AE63" s="34"/>
    </row>
    <row r="64" spans="1:31" x14ac:dyDescent="0.25">
      <c r="A64" s="34"/>
      <c r="B64" s="34"/>
      <c r="C64" s="34"/>
      <c r="D64" s="34"/>
      <c r="E64" s="34"/>
      <c r="F64" s="34"/>
      <c r="G64" s="34"/>
      <c r="H64" s="34"/>
      <c r="I64" s="34"/>
      <c r="J64" s="34"/>
      <c r="K64" s="34"/>
      <c r="L64" s="97" t="str">
        <f>AD4</f>
        <v>Epilogue</v>
      </c>
      <c r="M64" s="225" t="str">
        <f>AD37</f>
        <v>--</v>
      </c>
      <c r="N64" s="226" t="s">
        <v>100</v>
      </c>
      <c r="O64" s="227" t="s">
        <v>100</v>
      </c>
      <c r="P64" s="228">
        <v>35</v>
      </c>
      <c r="Q64" s="228">
        <v>39</v>
      </c>
      <c r="R64" s="228">
        <f>Q64*$D$36-P64</f>
        <v>43</v>
      </c>
      <c r="S64" s="229" t="s">
        <v>100</v>
      </c>
      <c r="T64" s="230" t="s">
        <v>100</v>
      </c>
      <c r="U64" s="230" t="s">
        <v>100</v>
      </c>
      <c r="V64" s="231" t="s">
        <v>100</v>
      </c>
      <c r="W64" s="232" t="s">
        <v>100</v>
      </c>
      <c r="X64" s="233" t="s">
        <v>100</v>
      </c>
      <c r="Y64" s="234" t="s">
        <v>100</v>
      </c>
      <c r="Z64" s="234" t="s">
        <v>100</v>
      </c>
      <c r="AA64" s="234" t="s">
        <v>100</v>
      </c>
      <c r="AB64" s="235" t="s">
        <v>100</v>
      </c>
      <c r="AC64" s="236" t="s">
        <v>100</v>
      </c>
      <c r="AD64" s="237" t="s">
        <v>100</v>
      </c>
      <c r="AE64" s="34"/>
    </row>
    <row r="65" spans="1:31" ht="15" customHeight="1" x14ac:dyDescent="0.25">
      <c r="A65" s="34"/>
      <c r="B65" s="34"/>
      <c r="C65" s="34"/>
      <c r="D65" s="34"/>
      <c r="E65" s="34"/>
      <c r="F65" s="34"/>
      <c r="G65" s="34"/>
      <c r="H65" s="34"/>
      <c r="I65" s="34"/>
      <c r="J65" s="34"/>
      <c r="K65" s="34"/>
      <c r="L65" s="157" t="s">
        <v>136</v>
      </c>
      <c r="M65" s="158">
        <f>SUM(M48:M63)</f>
        <v>0</v>
      </c>
      <c r="N65" s="158">
        <f>SUM(N51:N63)*$C$36</f>
        <v>1640</v>
      </c>
      <c r="O65" s="158" t="s">
        <v>100</v>
      </c>
      <c r="P65" s="158">
        <f>SUM(P47:P64)</f>
        <v>35</v>
      </c>
      <c r="Q65" s="158">
        <f>SUM(Q51:Q63)*$D$36</f>
        <v>64</v>
      </c>
      <c r="R65" s="158" t="s">
        <v>100</v>
      </c>
      <c r="S65" s="158">
        <f>SUM(S49:S63)</f>
        <v>0</v>
      </c>
      <c r="T65" s="158">
        <f>SUM(T51:T63)*$E$36</f>
        <v>6320</v>
      </c>
      <c r="U65" s="158" t="s">
        <v>100</v>
      </c>
      <c r="V65" s="158">
        <f>SUM(V51:V63)</f>
        <v>0</v>
      </c>
      <c r="W65" s="158">
        <f>SUM(W51:W63)*$F$36</f>
        <v>78</v>
      </c>
      <c r="X65" s="158" t="s">
        <v>100</v>
      </c>
      <c r="Y65" s="158">
        <f>SUM(Y52:Y63)</f>
        <v>0</v>
      </c>
      <c r="Z65" s="158">
        <f>SUM(Z51:Z63)*$G$36</f>
        <v>1360</v>
      </c>
      <c r="AA65" s="158" t="s">
        <v>100</v>
      </c>
      <c r="AB65" s="158">
        <f>SUM(AB47:AB63)</f>
        <v>10</v>
      </c>
      <c r="AC65" s="158">
        <f>SUM(AC51:AC63)*$H$36</f>
        <v>94</v>
      </c>
      <c r="AD65" s="159" t="s">
        <v>100</v>
      </c>
      <c r="AE65" s="34"/>
    </row>
    <row r="66" spans="1:31" ht="10.5" customHeight="1" x14ac:dyDescent="0.25">
      <c r="A66" s="34"/>
      <c r="B66" s="34"/>
      <c r="C66" s="34"/>
      <c r="D66" s="34"/>
      <c r="E66" s="34"/>
      <c r="F66" s="34"/>
      <c r="G66" s="34"/>
      <c r="H66" s="34"/>
      <c r="I66" s="34"/>
      <c r="J66" s="34"/>
      <c r="K66" s="34"/>
      <c r="L66" s="34"/>
      <c r="M66" s="34"/>
      <c r="N66" s="34"/>
      <c r="O66" s="34"/>
      <c r="P66" s="34"/>
      <c r="Q66" s="34"/>
      <c r="R66" s="34"/>
      <c r="S66" s="34"/>
      <c r="T66" s="34"/>
      <c r="U66" s="34"/>
      <c r="V66" s="34"/>
      <c r="W66" s="34"/>
      <c r="X66" s="34"/>
      <c r="Y66" s="34"/>
      <c r="Z66" s="34"/>
      <c r="AA66" s="34"/>
      <c r="AB66" s="34"/>
      <c r="AC66" s="34"/>
      <c r="AD66" s="34"/>
      <c r="AE66" s="34"/>
    </row>
  </sheetData>
  <mergeCells count="22">
    <mergeCell ref="B40:H40"/>
    <mergeCell ref="B2:B4"/>
    <mergeCell ref="C2:K2"/>
    <mergeCell ref="L2:L4"/>
    <mergeCell ref="M2:AD3"/>
    <mergeCell ref="C3:D3"/>
    <mergeCell ref="E3:F3"/>
    <mergeCell ref="B35:B36"/>
    <mergeCell ref="M35:AD35"/>
    <mergeCell ref="B37:H37"/>
    <mergeCell ref="B38:H38"/>
    <mergeCell ref="B39:H39"/>
    <mergeCell ref="B41:H41"/>
    <mergeCell ref="L44:L46"/>
    <mergeCell ref="M44:AD44"/>
    <mergeCell ref="M45:O45"/>
    <mergeCell ref="P45:R45"/>
    <mergeCell ref="S45:U45"/>
    <mergeCell ref="V45:X45"/>
    <mergeCell ref="Y45:AA45"/>
    <mergeCell ref="AB45:AD45"/>
    <mergeCell ref="B42:H48"/>
  </mergeCells>
  <conditionalFormatting sqref="O47:O63 R47:R49 AD47:AD49 U48:U63 AA48:AA49 X51:X63 R64">
    <cfRule type="cellIs" dxfId="5" priority="4" operator="lessThan">
      <formula>0</formula>
    </cfRule>
  </conditionalFormatting>
  <conditionalFormatting sqref="M5:AD9 M14:AD33 M10:AC13">
    <cfRule type="containsBlanks" dxfId="4" priority="7">
      <formula>LEN(TRIM(M5))=0</formula>
    </cfRule>
  </conditionalFormatting>
  <conditionalFormatting sqref="AD10:AD13">
    <cfRule type="containsBlanks" dxfId="3" priority="5">
      <formula>LEN(TRIM(AD10))=0</formula>
    </cfRule>
  </conditionalFormatting>
  <conditionalFormatting sqref="R50:R63">
    <cfRule type="cellIs" dxfId="2" priority="3" operator="lessThan">
      <formula>0</formula>
    </cfRule>
  </conditionalFormatting>
  <conditionalFormatting sqref="AD50:AD63">
    <cfRule type="cellIs" dxfId="1" priority="2" operator="lessThan">
      <formula>0</formula>
    </cfRule>
  </conditionalFormatting>
  <conditionalFormatting sqref="AA50:AA63">
    <cfRule type="cellIs" dxfId="0" priority="1" operator="lessThan">
      <formula>0</formula>
    </cfRule>
  </conditionalFormatting>
  <dataValidations count="4">
    <dataValidation type="list" allowBlank="1" showInputMessage="1" showErrorMessage="1" sqref="J42 J39 J36" xr:uid="{00000000-0002-0000-0600-000000000000}">
      <formula1>"Yes,No"</formula1>
    </dataValidation>
    <dataValidation type="decimal" operator="equal" allowBlank="1" showDropDown="1" showErrorMessage="1" sqref="AD10:AD11" xr:uid="{1733C507-4CCE-4ECB-95A7-7FC6421DCF12}">
      <formula1>4</formula1>
    </dataValidation>
    <dataValidation type="decimal" operator="equal" allowBlank="1" showDropDown="1" showErrorMessage="1" sqref="AD13" xr:uid="{DA797110-44FA-486C-8BDD-937DF3493050}">
      <formula1>1</formula1>
    </dataValidation>
    <dataValidation type="decimal" operator="equal" allowBlank="1" showDropDown="1" showErrorMessage="1" sqref="AD12" xr:uid="{6A9D989E-45D5-47E9-8F67-2D8925A143C4}">
      <formula1>7</formula1>
    </dataValidation>
  </dataValidations>
  <pageMargins left="0.7" right="0.7" top="0.75" bottom="0.75" header="0.3" footer="0.3"/>
  <pageSetup orientation="portrait" horizontalDpi="200" verticalDpi="200" copies="0" r:id="rId1"/>
  <ignoredErrors>
    <ignoredError sqref="E5:E33" formula="1"/>
  </ignoredErrors>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11">
    <outlinePr summaryBelow="0" summaryRight="0"/>
    <pageSetUpPr fitToPage="1"/>
  </sheetPr>
  <dimension ref="A1:P55"/>
  <sheetViews>
    <sheetView showGridLines="0" zoomScale="160" zoomScaleNormal="160" workbookViewId="0">
      <selection activeCell="B4" sqref="B4:B21"/>
    </sheetView>
  </sheetViews>
  <sheetFormatPr defaultColWidth="0" defaultRowHeight="0" customHeight="1" zeroHeight="1" x14ac:dyDescent="0.25"/>
  <cols>
    <col min="1" max="1" width="2" style="2" customWidth="1"/>
    <col min="2" max="2" width="24" style="21" bestFit="1" customWidth="1"/>
    <col min="3" max="3" width="8.28515625" style="21" customWidth="1"/>
    <col min="4" max="4" width="9.5703125" style="21" customWidth="1"/>
    <col min="5" max="5" width="11.28515625" style="21" customWidth="1"/>
    <col min="6" max="6" width="8.28515625" style="21" customWidth="1"/>
    <col min="7" max="7" width="9.28515625" style="21" customWidth="1"/>
    <col min="8" max="9" width="12.5703125" style="21" customWidth="1"/>
    <col min="10" max="10" width="8.28515625" style="21" customWidth="1"/>
    <col min="11" max="11" width="10.28515625" style="21" customWidth="1"/>
    <col min="12" max="12" width="8.28515625" style="21" customWidth="1"/>
    <col min="13" max="13" width="10.5703125" style="21" customWidth="1"/>
    <col min="14" max="14" width="8.28515625" style="21" customWidth="1"/>
    <col min="15" max="15" width="11.42578125" style="21" customWidth="1"/>
    <col min="16" max="16" width="2.140625" style="2" customWidth="1"/>
    <col min="17" max="17" width="0" style="21" hidden="1" customWidth="1"/>
    <col min="18" max="16384" width="0" style="21" hidden="1"/>
  </cols>
  <sheetData>
    <row r="1" spans="2:15" s="166" customFormat="1" ht="10.5" customHeight="1" thickBot="1" x14ac:dyDescent="0.3">
      <c r="B1" s="167"/>
      <c r="C1" s="167"/>
      <c r="D1" s="167"/>
      <c r="E1" s="167"/>
      <c r="F1" s="167"/>
      <c r="G1" s="167"/>
      <c r="H1" s="167"/>
      <c r="I1" s="167"/>
      <c r="K1" s="167"/>
      <c r="L1" s="167"/>
      <c r="M1" s="167"/>
      <c r="N1" s="167"/>
      <c r="O1" s="167"/>
    </row>
    <row r="2" spans="2:15" s="166" customFormat="1" ht="15.75" customHeight="1" x14ac:dyDescent="0.25">
      <c r="B2" s="377" t="s">
        <v>131</v>
      </c>
      <c r="C2" s="378"/>
      <c r="D2" s="378"/>
      <c r="E2" s="378"/>
      <c r="F2" s="378"/>
      <c r="G2" s="378"/>
      <c r="H2" s="378"/>
      <c r="I2" s="378"/>
      <c r="J2" s="378"/>
      <c r="K2" s="378"/>
      <c r="L2" s="378"/>
      <c r="M2" s="378"/>
      <c r="N2" s="378"/>
      <c r="O2" s="379"/>
    </row>
    <row r="3" spans="2:15" s="166" customFormat="1" ht="15.75" x14ac:dyDescent="0.25">
      <c r="B3" s="163" t="s">
        <v>128</v>
      </c>
      <c r="C3" s="165" t="s">
        <v>127</v>
      </c>
      <c r="D3" s="165" t="s">
        <v>126</v>
      </c>
      <c r="E3" s="154" t="s">
        <v>123</v>
      </c>
      <c r="F3" s="165" t="s">
        <v>125</v>
      </c>
      <c r="G3" s="172" t="s">
        <v>122</v>
      </c>
      <c r="H3" s="165" t="s">
        <v>129</v>
      </c>
      <c r="I3" s="155" t="s">
        <v>130</v>
      </c>
      <c r="J3" s="146" t="s">
        <v>124</v>
      </c>
      <c r="K3" s="168" t="s">
        <v>16</v>
      </c>
      <c r="L3" s="148" t="s">
        <v>17</v>
      </c>
      <c r="M3" s="24" t="s">
        <v>18</v>
      </c>
      <c r="N3" s="151" t="s">
        <v>20</v>
      </c>
      <c r="O3" s="261" t="s">
        <v>38</v>
      </c>
    </row>
    <row r="4" spans="2:15" s="166" customFormat="1" ht="15.75" x14ac:dyDescent="0.25">
      <c r="B4" s="164" t="s">
        <v>39</v>
      </c>
      <c r="C4" s="22">
        <v>23</v>
      </c>
      <c r="D4" s="22">
        <f>SUM(E4:O4)</f>
        <v>14</v>
      </c>
      <c r="E4" s="22">
        <v>2</v>
      </c>
      <c r="F4" s="22">
        <v>1</v>
      </c>
      <c r="G4" s="174">
        <v>3</v>
      </c>
      <c r="H4" s="22">
        <v>2</v>
      </c>
      <c r="I4" s="22">
        <v>1</v>
      </c>
      <c r="J4" s="147">
        <v>1</v>
      </c>
      <c r="K4" s="169">
        <v>1</v>
      </c>
      <c r="L4" s="31" t="s">
        <v>100</v>
      </c>
      <c r="M4" s="138" t="s">
        <v>100</v>
      </c>
      <c r="N4" s="32" t="s">
        <v>100</v>
      </c>
      <c r="O4" s="257">
        <v>3</v>
      </c>
    </row>
    <row r="5" spans="2:15" s="166" customFormat="1" ht="15.75" x14ac:dyDescent="0.25">
      <c r="B5" s="161" t="s">
        <v>40</v>
      </c>
      <c r="C5" s="114">
        <v>24</v>
      </c>
      <c r="D5" s="114">
        <f t="shared" ref="D5:D21" si="0">SUM(E5:O5)</f>
        <v>30</v>
      </c>
      <c r="E5" s="114">
        <v>3</v>
      </c>
      <c r="F5" s="114">
        <v>2</v>
      </c>
      <c r="G5" s="173">
        <v>3</v>
      </c>
      <c r="H5" s="114">
        <v>4</v>
      </c>
      <c r="I5" s="114">
        <v>2</v>
      </c>
      <c r="J5" s="29">
        <v>9</v>
      </c>
      <c r="K5" s="170">
        <v>3</v>
      </c>
      <c r="L5" s="149">
        <v>2</v>
      </c>
      <c r="M5" s="30" t="s">
        <v>100</v>
      </c>
      <c r="N5" s="152">
        <v>2</v>
      </c>
      <c r="O5" s="258" t="s">
        <v>100</v>
      </c>
    </row>
    <row r="6" spans="2:15" s="166" customFormat="1" ht="15.75" x14ac:dyDescent="0.25">
      <c r="B6" s="160" t="s">
        <v>57</v>
      </c>
      <c r="C6" s="23">
        <v>37</v>
      </c>
      <c r="D6" s="23">
        <f t="shared" si="0"/>
        <v>28</v>
      </c>
      <c r="E6" s="23">
        <v>2</v>
      </c>
      <c r="F6" s="23">
        <v>1</v>
      </c>
      <c r="G6" s="175">
        <v>3</v>
      </c>
      <c r="H6" s="23">
        <v>4</v>
      </c>
      <c r="I6" s="23">
        <v>2</v>
      </c>
      <c r="J6" s="25">
        <v>3</v>
      </c>
      <c r="K6" s="169">
        <v>7</v>
      </c>
      <c r="L6" s="31">
        <v>4</v>
      </c>
      <c r="M6" s="138" t="s">
        <v>100</v>
      </c>
      <c r="N6" s="32" t="s">
        <v>100</v>
      </c>
      <c r="O6" s="257">
        <v>2</v>
      </c>
    </row>
    <row r="7" spans="2:15" s="166" customFormat="1" ht="15.75" x14ac:dyDescent="0.25">
      <c r="B7" s="161" t="s">
        <v>59</v>
      </c>
      <c r="C7" s="114">
        <v>46</v>
      </c>
      <c r="D7" s="114">
        <f t="shared" si="0"/>
        <v>36</v>
      </c>
      <c r="E7" s="114">
        <v>4</v>
      </c>
      <c r="F7" s="114">
        <v>1</v>
      </c>
      <c r="G7" s="173">
        <v>3</v>
      </c>
      <c r="H7" s="114">
        <v>5</v>
      </c>
      <c r="I7" s="114">
        <v>3</v>
      </c>
      <c r="J7" s="29">
        <v>4</v>
      </c>
      <c r="K7" s="170">
        <v>5</v>
      </c>
      <c r="L7" s="149">
        <v>8</v>
      </c>
      <c r="M7" s="30" t="s">
        <v>100</v>
      </c>
      <c r="N7" s="152" t="s">
        <v>100</v>
      </c>
      <c r="O7" s="258">
        <v>3</v>
      </c>
    </row>
    <row r="8" spans="2:15" s="166" customFormat="1" ht="15.75" x14ac:dyDescent="0.25">
      <c r="B8" s="160" t="s">
        <v>61</v>
      </c>
      <c r="C8" s="23">
        <v>20</v>
      </c>
      <c r="D8" s="23">
        <f t="shared" si="0"/>
        <v>31</v>
      </c>
      <c r="E8" s="23">
        <v>4</v>
      </c>
      <c r="F8" s="23">
        <v>1</v>
      </c>
      <c r="G8" s="175">
        <v>3</v>
      </c>
      <c r="H8" s="23">
        <v>4</v>
      </c>
      <c r="I8" s="23">
        <v>3</v>
      </c>
      <c r="J8" s="25">
        <v>4</v>
      </c>
      <c r="K8" s="169">
        <v>4</v>
      </c>
      <c r="L8" s="31">
        <v>4</v>
      </c>
      <c r="M8" s="138">
        <v>4</v>
      </c>
      <c r="N8" s="32" t="s">
        <v>100</v>
      </c>
      <c r="O8" s="257" t="s">
        <v>100</v>
      </c>
    </row>
    <row r="9" spans="2:15" s="166" customFormat="1" ht="15.75" x14ac:dyDescent="0.25">
      <c r="B9" s="161" t="s">
        <v>63</v>
      </c>
      <c r="C9" s="114">
        <v>34</v>
      </c>
      <c r="D9" s="114">
        <f t="shared" si="0"/>
        <v>39</v>
      </c>
      <c r="E9" s="114">
        <v>4</v>
      </c>
      <c r="F9" s="114">
        <v>1</v>
      </c>
      <c r="G9" s="173">
        <v>3</v>
      </c>
      <c r="H9" s="114">
        <v>4</v>
      </c>
      <c r="I9" s="114">
        <v>2</v>
      </c>
      <c r="J9" s="29">
        <v>4</v>
      </c>
      <c r="K9" s="170">
        <v>3</v>
      </c>
      <c r="L9" s="149">
        <v>8</v>
      </c>
      <c r="M9" s="30">
        <v>4</v>
      </c>
      <c r="N9" s="152">
        <v>4</v>
      </c>
      <c r="O9" s="258">
        <v>2</v>
      </c>
    </row>
    <row r="10" spans="2:15" s="166" customFormat="1" ht="15.75" x14ac:dyDescent="0.25">
      <c r="B10" s="160" t="s">
        <v>66</v>
      </c>
      <c r="C10" s="23">
        <v>16</v>
      </c>
      <c r="D10" s="23">
        <f t="shared" si="0"/>
        <v>14</v>
      </c>
      <c r="E10" s="23" t="s">
        <v>100</v>
      </c>
      <c r="F10" s="23" t="s">
        <v>100</v>
      </c>
      <c r="G10" s="175">
        <v>3</v>
      </c>
      <c r="H10" s="23">
        <v>1</v>
      </c>
      <c r="I10" s="23">
        <v>1</v>
      </c>
      <c r="J10" s="25" t="s">
        <v>100</v>
      </c>
      <c r="K10" s="169">
        <v>2</v>
      </c>
      <c r="L10" s="31" t="s">
        <v>100</v>
      </c>
      <c r="M10" s="138">
        <v>7</v>
      </c>
      <c r="N10" s="32" t="s">
        <v>100</v>
      </c>
      <c r="O10" s="257" t="s">
        <v>100</v>
      </c>
    </row>
    <row r="11" spans="2:15" s="166" customFormat="1" ht="15.75" x14ac:dyDescent="0.25">
      <c r="B11" s="161" t="s">
        <v>45</v>
      </c>
      <c r="C11" s="114">
        <v>35</v>
      </c>
      <c r="D11" s="114">
        <f t="shared" si="0"/>
        <v>41</v>
      </c>
      <c r="E11" s="114">
        <v>6</v>
      </c>
      <c r="F11" s="114">
        <v>2</v>
      </c>
      <c r="G11" s="173">
        <v>3</v>
      </c>
      <c r="H11" s="114">
        <v>6</v>
      </c>
      <c r="I11" s="114">
        <v>3</v>
      </c>
      <c r="J11" s="29">
        <v>4</v>
      </c>
      <c r="K11" s="170">
        <v>2</v>
      </c>
      <c r="L11" s="149">
        <v>2</v>
      </c>
      <c r="M11" s="30">
        <v>6</v>
      </c>
      <c r="N11" s="152">
        <v>4</v>
      </c>
      <c r="O11" s="258">
        <v>3</v>
      </c>
    </row>
    <row r="12" spans="2:15" s="166" customFormat="1" ht="15.75" x14ac:dyDescent="0.25">
      <c r="B12" s="160" t="s">
        <v>70</v>
      </c>
      <c r="C12" s="23">
        <v>21</v>
      </c>
      <c r="D12" s="23">
        <f t="shared" si="0"/>
        <v>16</v>
      </c>
      <c r="E12" s="23">
        <v>1</v>
      </c>
      <c r="F12" s="23" t="s">
        <v>100</v>
      </c>
      <c r="G12" s="175">
        <v>3</v>
      </c>
      <c r="H12" s="23">
        <v>1</v>
      </c>
      <c r="I12" s="23" t="s">
        <v>100</v>
      </c>
      <c r="J12" s="25">
        <v>2</v>
      </c>
      <c r="K12" s="169">
        <v>3</v>
      </c>
      <c r="L12" s="31">
        <v>1</v>
      </c>
      <c r="M12" s="138">
        <v>1</v>
      </c>
      <c r="N12" s="32">
        <v>4</v>
      </c>
      <c r="O12" s="257" t="s">
        <v>100</v>
      </c>
    </row>
    <row r="13" spans="2:15" s="166" customFormat="1" ht="15.75" x14ac:dyDescent="0.25">
      <c r="B13" s="161" t="s">
        <v>47</v>
      </c>
      <c r="C13" s="114">
        <v>30</v>
      </c>
      <c r="D13" s="114">
        <f t="shared" si="0"/>
        <v>35</v>
      </c>
      <c r="E13" s="114">
        <v>4</v>
      </c>
      <c r="F13" s="114">
        <v>2</v>
      </c>
      <c r="G13" s="173">
        <v>3</v>
      </c>
      <c r="H13" s="114">
        <v>1</v>
      </c>
      <c r="I13" s="114">
        <v>2</v>
      </c>
      <c r="J13" s="29">
        <v>4</v>
      </c>
      <c r="K13" s="170">
        <v>2</v>
      </c>
      <c r="L13" s="149">
        <v>3</v>
      </c>
      <c r="M13" s="30">
        <v>2</v>
      </c>
      <c r="N13" s="152">
        <v>4</v>
      </c>
      <c r="O13" s="258">
        <v>8</v>
      </c>
    </row>
    <row r="14" spans="2:15" s="166" customFormat="1" ht="15.75" x14ac:dyDescent="0.25">
      <c r="B14" s="160" t="s">
        <v>74</v>
      </c>
      <c r="C14" s="23">
        <v>33</v>
      </c>
      <c r="D14" s="23">
        <f t="shared" si="0"/>
        <v>31</v>
      </c>
      <c r="E14" s="23">
        <v>2</v>
      </c>
      <c r="F14" s="23" t="s">
        <v>100</v>
      </c>
      <c r="G14" s="175">
        <v>3</v>
      </c>
      <c r="H14" s="23">
        <v>3</v>
      </c>
      <c r="I14" s="23">
        <v>3</v>
      </c>
      <c r="J14" s="25">
        <v>5</v>
      </c>
      <c r="K14" s="169">
        <v>1</v>
      </c>
      <c r="L14" s="31">
        <v>7</v>
      </c>
      <c r="M14" s="138" t="s">
        <v>100</v>
      </c>
      <c r="N14" s="32">
        <v>3</v>
      </c>
      <c r="O14" s="257">
        <v>4</v>
      </c>
    </row>
    <row r="15" spans="2:15" s="166" customFormat="1" ht="15.75" x14ac:dyDescent="0.25">
      <c r="B15" s="161" t="s">
        <v>76</v>
      </c>
      <c r="C15" s="114">
        <v>52</v>
      </c>
      <c r="D15" s="114">
        <f t="shared" si="0"/>
        <v>44</v>
      </c>
      <c r="E15" s="114">
        <v>11</v>
      </c>
      <c r="F15" s="114">
        <v>1</v>
      </c>
      <c r="G15" s="173">
        <v>3</v>
      </c>
      <c r="H15" s="114">
        <v>6</v>
      </c>
      <c r="I15" s="114">
        <v>2</v>
      </c>
      <c r="J15" s="29">
        <v>4</v>
      </c>
      <c r="K15" s="170">
        <v>2</v>
      </c>
      <c r="L15" s="149">
        <v>5</v>
      </c>
      <c r="M15" s="30">
        <v>2</v>
      </c>
      <c r="N15" s="152">
        <v>6</v>
      </c>
      <c r="O15" s="258">
        <v>2</v>
      </c>
    </row>
    <row r="16" spans="2:15" s="166" customFormat="1" ht="15.75" x14ac:dyDescent="0.25">
      <c r="B16" s="160" t="s">
        <v>79</v>
      </c>
      <c r="C16" s="23">
        <v>33</v>
      </c>
      <c r="D16" s="23">
        <f t="shared" si="0"/>
        <v>39</v>
      </c>
      <c r="E16" s="23">
        <v>2</v>
      </c>
      <c r="F16" s="23">
        <v>1</v>
      </c>
      <c r="G16" s="175">
        <v>3</v>
      </c>
      <c r="H16" s="23">
        <v>3</v>
      </c>
      <c r="I16" s="23">
        <v>4</v>
      </c>
      <c r="J16" s="25">
        <v>5</v>
      </c>
      <c r="K16" s="169">
        <v>2</v>
      </c>
      <c r="L16" s="31">
        <v>6</v>
      </c>
      <c r="M16" s="138" t="s">
        <v>100</v>
      </c>
      <c r="N16" s="32">
        <v>5</v>
      </c>
      <c r="O16" s="257">
        <v>8</v>
      </c>
    </row>
    <row r="17" spans="2:15" s="166" customFormat="1" ht="15.75" x14ac:dyDescent="0.25">
      <c r="B17" s="161" t="s">
        <v>51</v>
      </c>
      <c r="C17" s="114">
        <v>22</v>
      </c>
      <c r="D17" s="114">
        <f t="shared" si="0"/>
        <v>33</v>
      </c>
      <c r="E17" s="114">
        <v>3</v>
      </c>
      <c r="F17" s="114">
        <v>2</v>
      </c>
      <c r="G17" s="173">
        <v>3</v>
      </c>
      <c r="H17" s="114">
        <v>3</v>
      </c>
      <c r="I17" s="114">
        <v>4</v>
      </c>
      <c r="J17" s="29">
        <v>2</v>
      </c>
      <c r="K17" s="170">
        <v>2</v>
      </c>
      <c r="L17" s="149">
        <v>6</v>
      </c>
      <c r="M17" s="30" t="s">
        <v>100</v>
      </c>
      <c r="N17" s="152" t="s">
        <v>100</v>
      </c>
      <c r="O17" s="258">
        <v>8</v>
      </c>
    </row>
    <row r="18" spans="2:15" s="166" customFormat="1" ht="15.75" x14ac:dyDescent="0.25">
      <c r="B18" s="160" t="s">
        <v>84</v>
      </c>
      <c r="C18" s="23">
        <v>37</v>
      </c>
      <c r="D18" s="23">
        <f t="shared" si="0"/>
        <v>40</v>
      </c>
      <c r="E18" s="23">
        <v>4</v>
      </c>
      <c r="F18" s="23">
        <v>1</v>
      </c>
      <c r="G18" s="175">
        <v>3</v>
      </c>
      <c r="H18" s="23">
        <v>5</v>
      </c>
      <c r="I18" s="23">
        <v>3</v>
      </c>
      <c r="J18" s="25">
        <v>4</v>
      </c>
      <c r="K18" s="169">
        <v>4</v>
      </c>
      <c r="L18" s="31">
        <v>12</v>
      </c>
      <c r="M18" s="138" t="s">
        <v>100</v>
      </c>
      <c r="N18" s="32">
        <v>2</v>
      </c>
      <c r="O18" s="257">
        <v>2</v>
      </c>
    </row>
    <row r="19" spans="2:15" s="166" customFormat="1" ht="15.75" x14ac:dyDescent="0.25">
      <c r="B19" s="161" t="s">
        <v>86</v>
      </c>
      <c r="C19" s="114">
        <v>26</v>
      </c>
      <c r="D19" s="114">
        <f t="shared" si="0"/>
        <v>39</v>
      </c>
      <c r="E19" s="114">
        <v>2</v>
      </c>
      <c r="F19" s="114">
        <v>1</v>
      </c>
      <c r="G19" s="173">
        <v>3</v>
      </c>
      <c r="H19" s="114">
        <v>3</v>
      </c>
      <c r="I19" s="114">
        <v>3</v>
      </c>
      <c r="J19" s="29">
        <v>3</v>
      </c>
      <c r="K19" s="170">
        <v>5</v>
      </c>
      <c r="L19" s="149">
        <v>7</v>
      </c>
      <c r="M19" s="30" t="s">
        <v>100</v>
      </c>
      <c r="N19" s="152">
        <v>2</v>
      </c>
      <c r="O19" s="258">
        <v>10</v>
      </c>
    </row>
    <row r="20" spans="2:15" s="166" customFormat="1" ht="15.75" x14ac:dyDescent="0.25">
      <c r="B20" s="160" t="s">
        <v>89</v>
      </c>
      <c r="C20" s="23">
        <v>11</v>
      </c>
      <c r="D20" s="23">
        <f t="shared" si="0"/>
        <v>25</v>
      </c>
      <c r="E20" s="23">
        <v>2</v>
      </c>
      <c r="F20" s="23" t="s">
        <v>100</v>
      </c>
      <c r="G20" s="175" t="s">
        <v>100</v>
      </c>
      <c r="H20" s="23">
        <v>1</v>
      </c>
      <c r="I20" s="23">
        <v>4</v>
      </c>
      <c r="J20" s="25" t="s">
        <v>100</v>
      </c>
      <c r="K20" s="169" t="s">
        <v>100</v>
      </c>
      <c r="L20" s="31">
        <v>18</v>
      </c>
      <c r="M20" s="138" t="s">
        <v>100</v>
      </c>
      <c r="N20" s="32" t="s">
        <v>100</v>
      </c>
      <c r="O20" s="257" t="s">
        <v>100</v>
      </c>
    </row>
    <row r="21" spans="2:15" s="166" customFormat="1" ht="16.5" thickBot="1" x14ac:dyDescent="0.3">
      <c r="B21" s="162" t="s">
        <v>92</v>
      </c>
      <c r="C21" s="115">
        <v>16</v>
      </c>
      <c r="D21" s="115">
        <f t="shared" si="0"/>
        <v>45</v>
      </c>
      <c r="E21" s="115" t="s">
        <v>100</v>
      </c>
      <c r="F21" s="115">
        <v>2</v>
      </c>
      <c r="G21" s="183" t="s">
        <v>100</v>
      </c>
      <c r="H21" s="115">
        <v>2</v>
      </c>
      <c r="I21" s="115">
        <v>2</v>
      </c>
      <c r="J21" s="105" t="s">
        <v>100</v>
      </c>
      <c r="K21" s="171">
        <v>39</v>
      </c>
      <c r="L21" s="150" t="s">
        <v>100</v>
      </c>
      <c r="M21" s="106" t="s">
        <v>100</v>
      </c>
      <c r="N21" s="153" t="s">
        <v>100</v>
      </c>
      <c r="O21" s="259" t="s">
        <v>100</v>
      </c>
    </row>
    <row r="22" spans="2:15" s="166" customFormat="1" ht="15.75" customHeight="1" thickTop="1" thickBot="1" x14ac:dyDescent="0.3">
      <c r="B22" s="156" t="s">
        <v>136</v>
      </c>
      <c r="C22" s="260">
        <f>SUM(C4:C21)</f>
        <v>516</v>
      </c>
      <c r="D22" s="260">
        <f>SUM(D4:D21)</f>
        <v>580</v>
      </c>
      <c r="E22" s="260">
        <f>SUM(E4:E21)</f>
        <v>56</v>
      </c>
      <c r="F22" s="260">
        <f>SUM(F4:F21)</f>
        <v>19</v>
      </c>
      <c r="G22" s="260">
        <f>SUM(G4:G21)</f>
        <v>48</v>
      </c>
      <c r="H22" s="260">
        <f t="shared" ref="H22:O22" si="1">SUM(H4:H21)</f>
        <v>58</v>
      </c>
      <c r="I22" s="260">
        <f t="shared" si="1"/>
        <v>44</v>
      </c>
      <c r="J22" s="260">
        <f t="shared" si="1"/>
        <v>58</v>
      </c>
      <c r="K22" s="260">
        <f t="shared" si="1"/>
        <v>87</v>
      </c>
      <c r="L22" s="260">
        <f t="shared" si="1"/>
        <v>93</v>
      </c>
      <c r="M22" s="260">
        <f t="shared" si="1"/>
        <v>26</v>
      </c>
      <c r="N22" s="260">
        <f t="shared" si="1"/>
        <v>36</v>
      </c>
      <c r="O22" s="260">
        <f t="shared" si="1"/>
        <v>55</v>
      </c>
    </row>
    <row r="23" spans="2:15" s="166" customFormat="1" ht="10.5" customHeight="1" x14ac:dyDescent="0.25"/>
    <row r="24" spans="2:15" ht="0" hidden="1" customHeight="1" x14ac:dyDescent="0.25"/>
    <row r="25" spans="2:15" ht="0" hidden="1" customHeight="1" x14ac:dyDescent="0.25"/>
    <row r="26" spans="2:15" ht="0" hidden="1" customHeight="1" x14ac:dyDescent="0.25"/>
    <row r="27" spans="2:15" ht="0" hidden="1" customHeight="1" x14ac:dyDescent="0.25"/>
    <row r="28" spans="2:15" ht="0" hidden="1" customHeight="1" x14ac:dyDescent="0.25"/>
    <row r="29" spans="2:15" ht="0" hidden="1" customHeight="1" x14ac:dyDescent="0.25"/>
    <row r="30" spans="2:15" ht="0" hidden="1" customHeight="1" x14ac:dyDescent="0.25"/>
    <row r="31" spans="2:15" ht="0" hidden="1" customHeight="1" x14ac:dyDescent="0.25"/>
    <row r="32" spans="2:15" ht="0" hidden="1" customHeight="1" x14ac:dyDescent="0.25"/>
    <row r="33" ht="0" hidden="1" customHeight="1" x14ac:dyDescent="0.25"/>
    <row r="34" ht="0" hidden="1" customHeight="1" x14ac:dyDescent="0.25"/>
    <row r="35" ht="0" hidden="1" customHeight="1" x14ac:dyDescent="0.25"/>
    <row r="36" ht="0" hidden="1" customHeight="1" x14ac:dyDescent="0.25"/>
    <row r="37" ht="0" hidden="1" customHeight="1" x14ac:dyDescent="0.25"/>
    <row r="38" ht="0" hidden="1" customHeight="1" x14ac:dyDescent="0.25"/>
    <row r="39" ht="0" hidden="1" customHeight="1" x14ac:dyDescent="0.25"/>
    <row r="40" ht="0" hidden="1" customHeight="1" x14ac:dyDescent="0.25"/>
    <row r="41" ht="0" hidden="1" customHeight="1" x14ac:dyDescent="0.25"/>
    <row r="42" ht="0" hidden="1" customHeight="1" x14ac:dyDescent="0.25"/>
    <row r="43" ht="0" hidden="1" customHeight="1" x14ac:dyDescent="0.25"/>
    <row r="44" ht="0" hidden="1" customHeight="1" x14ac:dyDescent="0.25"/>
    <row r="45" ht="0" hidden="1" customHeight="1" x14ac:dyDescent="0.25"/>
    <row r="46" ht="0" hidden="1" customHeight="1" x14ac:dyDescent="0.25"/>
    <row r="47" ht="0" hidden="1" customHeight="1" x14ac:dyDescent="0.25"/>
    <row r="48" ht="0" hidden="1" customHeight="1" x14ac:dyDescent="0.25"/>
    <row r="49" ht="0" hidden="1" customHeight="1" x14ac:dyDescent="0.25"/>
    <row r="50" ht="0" hidden="1" customHeight="1" x14ac:dyDescent="0.25"/>
    <row r="51" ht="0" hidden="1" customHeight="1" x14ac:dyDescent="0.25"/>
    <row r="52" ht="0" hidden="1" customHeight="1" x14ac:dyDescent="0.25"/>
    <row r="53" ht="0" hidden="1" customHeight="1" x14ac:dyDescent="0.25"/>
    <row r="54" ht="0" hidden="1" customHeight="1" x14ac:dyDescent="0.25"/>
    <row r="55" ht="0" hidden="1" customHeight="1" x14ac:dyDescent="0.25"/>
  </sheetData>
  <sheetProtection sheet="1" objects="1" scenarios="1"/>
  <mergeCells count="1">
    <mergeCell ref="B2:O2"/>
  </mergeCells>
  <pageMargins left="0.7" right="0.7" top="0.75" bottom="0.75" header="0.3" footer="0.3"/>
  <pageSetup scale="82" fitToHeight="0" orientation="landscape" r:id="rId1"/>
  <drawing r:id="rId2"/>
  <legacyDrawing r:id="rId3"/>
  <tableParts count="1">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5B6C4-4188-441E-936E-E2A7A348C9C3}">
  <sheetPr codeName="s12">
    <outlinePr summaryBelow="0" summaryRight="0"/>
    <pageSetUpPr fitToPage="1"/>
  </sheetPr>
  <dimension ref="A1:XFB53"/>
  <sheetViews>
    <sheetView showGridLines="0" zoomScale="160" zoomScaleNormal="160" workbookViewId="0"/>
  </sheetViews>
  <sheetFormatPr defaultColWidth="0" defaultRowHeight="0" customHeight="1" zeroHeight="1" x14ac:dyDescent="0.25"/>
  <cols>
    <col min="1" max="1" width="2" style="108" customWidth="1"/>
    <col min="2" max="2" width="24" style="21" bestFit="1" customWidth="1"/>
    <col min="3" max="3" width="8.28515625" style="21" customWidth="1"/>
    <col min="4" max="4" width="9.5703125" style="21" customWidth="1"/>
    <col min="5" max="5" width="11.28515625" style="21" customWidth="1"/>
    <col min="6" max="6" width="8.28515625" style="21" customWidth="1"/>
    <col min="7" max="7" width="9.28515625" style="21" customWidth="1"/>
    <col min="8" max="9" width="12.5703125" style="21" customWidth="1"/>
    <col min="10" max="10" width="8.28515625" style="21" customWidth="1"/>
    <col min="11" max="11" width="10.28515625" style="21" customWidth="1"/>
    <col min="12" max="12" width="8.28515625" style="21" customWidth="1"/>
    <col min="13" max="13" width="10.5703125" style="21" customWidth="1"/>
    <col min="14" max="14" width="8.28515625" style="21" customWidth="1"/>
    <col min="15" max="15" width="11.42578125" style="21" customWidth="1"/>
    <col min="16" max="16" width="2" style="108" customWidth="1"/>
    <col min="17" max="26" width="9.5703125" style="21" hidden="1"/>
    <col min="27" max="16382" width="14.42578125" style="21" hidden="1"/>
    <col min="16383" max="16384" width="8" style="21" hidden="1"/>
  </cols>
  <sheetData>
    <row r="1" spans="2:15" s="166" customFormat="1" ht="10.5" customHeight="1" thickBot="1" x14ac:dyDescent="0.3">
      <c r="B1" s="167"/>
      <c r="C1" s="167"/>
      <c r="D1" s="167"/>
      <c r="E1" s="167"/>
      <c r="F1" s="167"/>
      <c r="G1" s="167"/>
      <c r="H1" s="167"/>
      <c r="I1" s="167"/>
      <c r="K1" s="167"/>
      <c r="L1" s="167"/>
      <c r="M1" s="167"/>
      <c r="N1" s="167"/>
      <c r="O1" s="167"/>
    </row>
    <row r="2" spans="2:15" s="166" customFormat="1" ht="15.75" customHeight="1" x14ac:dyDescent="0.25">
      <c r="B2" s="377" t="s">
        <v>131</v>
      </c>
      <c r="C2" s="378"/>
      <c r="D2" s="378"/>
      <c r="E2" s="378"/>
      <c r="F2" s="378"/>
      <c r="G2" s="378"/>
      <c r="H2" s="378"/>
      <c r="I2" s="378"/>
      <c r="J2" s="378"/>
      <c r="K2" s="378"/>
      <c r="L2" s="378"/>
      <c r="M2" s="378"/>
      <c r="N2" s="378"/>
      <c r="O2" s="379"/>
    </row>
    <row r="3" spans="2:15" s="166" customFormat="1" ht="15.75" x14ac:dyDescent="0.25">
      <c r="B3" s="163" t="s">
        <v>128</v>
      </c>
      <c r="C3" s="165" t="s">
        <v>127</v>
      </c>
      <c r="D3" s="165" t="s">
        <v>126</v>
      </c>
      <c r="E3" s="154" t="s">
        <v>123</v>
      </c>
      <c r="F3" s="165" t="s">
        <v>125</v>
      </c>
      <c r="G3" s="172" t="s">
        <v>122</v>
      </c>
      <c r="H3" s="165" t="s">
        <v>129</v>
      </c>
      <c r="I3" s="155" t="s">
        <v>130</v>
      </c>
      <c r="J3" s="146" t="s">
        <v>124</v>
      </c>
      <c r="K3" s="168" t="s">
        <v>16</v>
      </c>
      <c r="L3" s="148" t="s">
        <v>17</v>
      </c>
      <c r="M3" s="24" t="s">
        <v>18</v>
      </c>
      <c r="N3" s="151" t="s">
        <v>20</v>
      </c>
      <c r="O3" s="261" t="s">
        <v>38</v>
      </c>
    </row>
    <row r="4" spans="2:15" s="166" customFormat="1" ht="15.75" x14ac:dyDescent="0.25">
      <c r="B4" s="164" t="s">
        <v>39</v>
      </c>
      <c r="C4" s="22">
        <v>23</v>
      </c>
      <c r="D4" s="22">
        <f t="shared" ref="D4:D21" si="0">SUM(E4:O4)</f>
        <v>14</v>
      </c>
      <c r="E4" s="22">
        <v>2</v>
      </c>
      <c r="F4" s="22">
        <v>1</v>
      </c>
      <c r="G4" s="174">
        <v>3</v>
      </c>
      <c r="H4" s="22">
        <v>2</v>
      </c>
      <c r="I4" s="22">
        <v>1</v>
      </c>
      <c r="J4" s="147">
        <v>1</v>
      </c>
      <c r="K4" s="169">
        <v>1</v>
      </c>
      <c r="L4" s="31" t="s">
        <v>100</v>
      </c>
      <c r="M4" s="138" t="s">
        <v>100</v>
      </c>
      <c r="N4" s="32" t="s">
        <v>100</v>
      </c>
      <c r="O4" s="257">
        <v>3</v>
      </c>
    </row>
    <row r="5" spans="2:15" s="166" customFormat="1" ht="15.75" x14ac:dyDescent="0.25">
      <c r="B5" s="161" t="s">
        <v>40</v>
      </c>
      <c r="C5" s="114">
        <v>24</v>
      </c>
      <c r="D5" s="114">
        <f t="shared" si="0"/>
        <v>30</v>
      </c>
      <c r="E5" s="114">
        <v>3</v>
      </c>
      <c r="F5" s="114">
        <v>2</v>
      </c>
      <c r="G5" s="173">
        <v>3</v>
      </c>
      <c r="H5" s="114">
        <v>4</v>
      </c>
      <c r="I5" s="114">
        <v>2</v>
      </c>
      <c r="J5" s="29">
        <v>9</v>
      </c>
      <c r="K5" s="170">
        <v>3</v>
      </c>
      <c r="L5" s="149">
        <v>2</v>
      </c>
      <c r="M5" s="30" t="s">
        <v>100</v>
      </c>
      <c r="N5" s="152">
        <v>2</v>
      </c>
      <c r="O5" s="258" t="s">
        <v>100</v>
      </c>
    </row>
    <row r="6" spans="2:15" s="166" customFormat="1" ht="15.75" x14ac:dyDescent="0.25">
      <c r="B6" s="160" t="s">
        <v>57</v>
      </c>
      <c r="C6" s="23">
        <v>37</v>
      </c>
      <c r="D6" s="23">
        <f t="shared" si="0"/>
        <v>28</v>
      </c>
      <c r="E6" s="23">
        <v>2</v>
      </c>
      <c r="F6" s="23">
        <v>1</v>
      </c>
      <c r="G6" s="175">
        <v>3</v>
      </c>
      <c r="H6" s="23">
        <v>4</v>
      </c>
      <c r="I6" s="23">
        <v>2</v>
      </c>
      <c r="J6" s="25">
        <v>3</v>
      </c>
      <c r="K6" s="169">
        <v>7</v>
      </c>
      <c r="L6" s="31">
        <v>4</v>
      </c>
      <c r="M6" s="138" t="s">
        <v>100</v>
      </c>
      <c r="N6" s="32" t="s">
        <v>100</v>
      </c>
      <c r="O6" s="257">
        <v>2</v>
      </c>
    </row>
    <row r="7" spans="2:15" s="166" customFormat="1" ht="15.75" x14ac:dyDescent="0.25">
      <c r="B7" s="161" t="s">
        <v>59</v>
      </c>
      <c r="C7" s="114">
        <v>46</v>
      </c>
      <c r="D7" s="114">
        <f t="shared" si="0"/>
        <v>36</v>
      </c>
      <c r="E7" s="114">
        <v>4</v>
      </c>
      <c r="F7" s="114">
        <v>1</v>
      </c>
      <c r="G7" s="173">
        <v>3</v>
      </c>
      <c r="H7" s="114">
        <v>5</v>
      </c>
      <c r="I7" s="114">
        <v>3</v>
      </c>
      <c r="J7" s="29">
        <v>4</v>
      </c>
      <c r="K7" s="170">
        <v>5</v>
      </c>
      <c r="L7" s="149">
        <v>8</v>
      </c>
      <c r="M7" s="30" t="s">
        <v>100</v>
      </c>
      <c r="N7" s="152" t="s">
        <v>100</v>
      </c>
      <c r="O7" s="258">
        <v>3</v>
      </c>
    </row>
    <row r="8" spans="2:15" s="166" customFormat="1" ht="15.75" x14ac:dyDescent="0.25">
      <c r="B8" s="160" t="s">
        <v>61</v>
      </c>
      <c r="C8" s="23">
        <v>20</v>
      </c>
      <c r="D8" s="23">
        <f t="shared" si="0"/>
        <v>31</v>
      </c>
      <c r="E8" s="23">
        <v>4</v>
      </c>
      <c r="F8" s="23">
        <v>1</v>
      </c>
      <c r="G8" s="175">
        <v>3</v>
      </c>
      <c r="H8" s="23">
        <v>4</v>
      </c>
      <c r="I8" s="23">
        <v>3</v>
      </c>
      <c r="J8" s="25">
        <v>4</v>
      </c>
      <c r="K8" s="169">
        <v>4</v>
      </c>
      <c r="L8" s="31">
        <v>4</v>
      </c>
      <c r="M8" s="138">
        <v>4</v>
      </c>
      <c r="N8" s="32" t="s">
        <v>100</v>
      </c>
      <c r="O8" s="257" t="s">
        <v>100</v>
      </c>
    </row>
    <row r="9" spans="2:15" s="166" customFormat="1" ht="15.75" x14ac:dyDescent="0.25">
      <c r="B9" s="161" t="s">
        <v>63</v>
      </c>
      <c r="C9" s="114">
        <v>34</v>
      </c>
      <c r="D9" s="114">
        <f t="shared" si="0"/>
        <v>39</v>
      </c>
      <c r="E9" s="114">
        <v>4</v>
      </c>
      <c r="F9" s="114">
        <v>1</v>
      </c>
      <c r="G9" s="173">
        <v>3</v>
      </c>
      <c r="H9" s="114">
        <v>4</v>
      </c>
      <c r="I9" s="114">
        <v>2</v>
      </c>
      <c r="J9" s="29">
        <v>4</v>
      </c>
      <c r="K9" s="170">
        <v>3</v>
      </c>
      <c r="L9" s="149">
        <v>8</v>
      </c>
      <c r="M9" s="30">
        <v>4</v>
      </c>
      <c r="N9" s="152">
        <v>4</v>
      </c>
      <c r="O9" s="258">
        <v>2</v>
      </c>
    </row>
    <row r="10" spans="2:15" s="166" customFormat="1" ht="15.75" x14ac:dyDescent="0.25">
      <c r="B10" s="160" t="s">
        <v>66</v>
      </c>
      <c r="C10" s="23">
        <v>16</v>
      </c>
      <c r="D10" s="23">
        <f t="shared" si="0"/>
        <v>14</v>
      </c>
      <c r="E10" s="23" t="s">
        <v>100</v>
      </c>
      <c r="F10" s="23" t="s">
        <v>100</v>
      </c>
      <c r="G10" s="175">
        <v>3</v>
      </c>
      <c r="H10" s="23">
        <v>1</v>
      </c>
      <c r="I10" s="23">
        <v>1</v>
      </c>
      <c r="J10" s="25" t="s">
        <v>100</v>
      </c>
      <c r="K10" s="169">
        <v>2</v>
      </c>
      <c r="L10" s="31" t="s">
        <v>100</v>
      </c>
      <c r="M10" s="138">
        <v>7</v>
      </c>
      <c r="N10" s="32" t="s">
        <v>100</v>
      </c>
      <c r="O10" s="257" t="s">
        <v>100</v>
      </c>
    </row>
    <row r="11" spans="2:15" s="166" customFormat="1" ht="15.75" x14ac:dyDescent="0.25">
      <c r="B11" s="161" t="s">
        <v>45</v>
      </c>
      <c r="C11" s="114">
        <v>35</v>
      </c>
      <c r="D11" s="114">
        <f t="shared" si="0"/>
        <v>41</v>
      </c>
      <c r="E11" s="114">
        <v>6</v>
      </c>
      <c r="F11" s="114">
        <v>2</v>
      </c>
      <c r="G11" s="173">
        <v>3</v>
      </c>
      <c r="H11" s="114">
        <v>6</v>
      </c>
      <c r="I11" s="114">
        <v>3</v>
      </c>
      <c r="J11" s="29">
        <v>4</v>
      </c>
      <c r="K11" s="170">
        <v>2</v>
      </c>
      <c r="L11" s="149">
        <v>2</v>
      </c>
      <c r="M11" s="30">
        <v>6</v>
      </c>
      <c r="N11" s="152">
        <v>4</v>
      </c>
      <c r="O11" s="258">
        <v>3</v>
      </c>
    </row>
    <row r="12" spans="2:15" s="166" customFormat="1" ht="15.75" x14ac:dyDescent="0.25">
      <c r="B12" s="160" t="s">
        <v>70</v>
      </c>
      <c r="C12" s="23">
        <v>21</v>
      </c>
      <c r="D12" s="23">
        <f t="shared" si="0"/>
        <v>16</v>
      </c>
      <c r="E12" s="23">
        <v>1</v>
      </c>
      <c r="F12" s="23" t="s">
        <v>100</v>
      </c>
      <c r="G12" s="175">
        <v>3</v>
      </c>
      <c r="H12" s="23">
        <v>1</v>
      </c>
      <c r="I12" s="23" t="s">
        <v>100</v>
      </c>
      <c r="J12" s="25">
        <v>2</v>
      </c>
      <c r="K12" s="169">
        <v>3</v>
      </c>
      <c r="L12" s="31">
        <v>1</v>
      </c>
      <c r="M12" s="138">
        <v>1</v>
      </c>
      <c r="N12" s="32">
        <v>4</v>
      </c>
      <c r="O12" s="257" t="s">
        <v>100</v>
      </c>
    </row>
    <row r="13" spans="2:15" s="166" customFormat="1" ht="15.75" x14ac:dyDescent="0.25">
      <c r="B13" s="161" t="s">
        <v>47</v>
      </c>
      <c r="C13" s="114">
        <v>30</v>
      </c>
      <c r="D13" s="114">
        <f t="shared" si="0"/>
        <v>35</v>
      </c>
      <c r="E13" s="114">
        <v>4</v>
      </c>
      <c r="F13" s="114">
        <v>2</v>
      </c>
      <c r="G13" s="173">
        <v>3</v>
      </c>
      <c r="H13" s="114">
        <v>1</v>
      </c>
      <c r="I13" s="114">
        <v>2</v>
      </c>
      <c r="J13" s="29">
        <v>4</v>
      </c>
      <c r="K13" s="170">
        <v>2</v>
      </c>
      <c r="L13" s="149">
        <v>3</v>
      </c>
      <c r="M13" s="30">
        <v>2</v>
      </c>
      <c r="N13" s="152">
        <v>4</v>
      </c>
      <c r="O13" s="258">
        <v>8</v>
      </c>
    </row>
    <row r="14" spans="2:15" s="166" customFormat="1" ht="15.75" x14ac:dyDescent="0.25">
      <c r="B14" s="160" t="s">
        <v>74</v>
      </c>
      <c r="C14" s="23">
        <v>33</v>
      </c>
      <c r="D14" s="23">
        <f t="shared" si="0"/>
        <v>31</v>
      </c>
      <c r="E14" s="23">
        <v>2</v>
      </c>
      <c r="F14" s="23" t="s">
        <v>100</v>
      </c>
      <c r="G14" s="175">
        <v>3</v>
      </c>
      <c r="H14" s="23">
        <v>3</v>
      </c>
      <c r="I14" s="23">
        <v>3</v>
      </c>
      <c r="J14" s="25">
        <v>5</v>
      </c>
      <c r="K14" s="169">
        <v>1</v>
      </c>
      <c r="L14" s="31">
        <v>7</v>
      </c>
      <c r="M14" s="138" t="s">
        <v>100</v>
      </c>
      <c r="N14" s="32">
        <v>3</v>
      </c>
      <c r="O14" s="257">
        <v>4</v>
      </c>
    </row>
    <row r="15" spans="2:15" s="166" customFormat="1" ht="15.75" x14ac:dyDescent="0.25">
      <c r="B15" s="161" t="s">
        <v>76</v>
      </c>
      <c r="C15" s="114">
        <v>52</v>
      </c>
      <c r="D15" s="114">
        <f t="shared" si="0"/>
        <v>44</v>
      </c>
      <c r="E15" s="114">
        <v>11</v>
      </c>
      <c r="F15" s="114">
        <v>1</v>
      </c>
      <c r="G15" s="173">
        <v>3</v>
      </c>
      <c r="H15" s="114">
        <v>6</v>
      </c>
      <c r="I15" s="114">
        <v>2</v>
      </c>
      <c r="J15" s="29">
        <v>4</v>
      </c>
      <c r="K15" s="170">
        <v>2</v>
      </c>
      <c r="L15" s="149">
        <v>5</v>
      </c>
      <c r="M15" s="30">
        <v>2</v>
      </c>
      <c r="N15" s="152">
        <v>6</v>
      </c>
      <c r="O15" s="258">
        <v>2</v>
      </c>
    </row>
    <row r="16" spans="2:15" s="166" customFormat="1" ht="15.75" x14ac:dyDescent="0.25">
      <c r="B16" s="160" t="s">
        <v>79</v>
      </c>
      <c r="C16" s="23">
        <v>33</v>
      </c>
      <c r="D16" s="23">
        <f t="shared" si="0"/>
        <v>39</v>
      </c>
      <c r="E16" s="23">
        <v>2</v>
      </c>
      <c r="F16" s="23">
        <v>1</v>
      </c>
      <c r="G16" s="175">
        <v>3</v>
      </c>
      <c r="H16" s="23">
        <v>3</v>
      </c>
      <c r="I16" s="23">
        <v>4</v>
      </c>
      <c r="J16" s="25">
        <v>5</v>
      </c>
      <c r="K16" s="169">
        <v>2</v>
      </c>
      <c r="L16" s="31">
        <v>6</v>
      </c>
      <c r="M16" s="138" t="s">
        <v>100</v>
      </c>
      <c r="N16" s="32">
        <v>5</v>
      </c>
      <c r="O16" s="257">
        <v>8</v>
      </c>
    </row>
    <row r="17" spans="2:15" s="166" customFormat="1" ht="15.75" x14ac:dyDescent="0.25">
      <c r="B17" s="161" t="s">
        <v>51</v>
      </c>
      <c r="C17" s="114">
        <v>22</v>
      </c>
      <c r="D17" s="114">
        <f t="shared" si="0"/>
        <v>33</v>
      </c>
      <c r="E17" s="114">
        <v>3</v>
      </c>
      <c r="F17" s="114">
        <v>2</v>
      </c>
      <c r="G17" s="173">
        <v>3</v>
      </c>
      <c r="H17" s="114">
        <v>3</v>
      </c>
      <c r="I17" s="114">
        <v>4</v>
      </c>
      <c r="J17" s="29">
        <v>2</v>
      </c>
      <c r="K17" s="170">
        <v>2</v>
      </c>
      <c r="L17" s="149">
        <v>6</v>
      </c>
      <c r="M17" s="30" t="s">
        <v>100</v>
      </c>
      <c r="N17" s="152" t="s">
        <v>100</v>
      </c>
      <c r="O17" s="258">
        <v>8</v>
      </c>
    </row>
    <row r="18" spans="2:15" s="166" customFormat="1" ht="15.75" x14ac:dyDescent="0.25">
      <c r="B18" s="160" t="s">
        <v>84</v>
      </c>
      <c r="C18" s="23">
        <v>37</v>
      </c>
      <c r="D18" s="23">
        <f t="shared" si="0"/>
        <v>39</v>
      </c>
      <c r="E18" s="23">
        <v>4</v>
      </c>
      <c r="F18" s="23">
        <v>1</v>
      </c>
      <c r="G18" s="175">
        <v>3</v>
      </c>
      <c r="H18" s="23">
        <v>5</v>
      </c>
      <c r="I18" s="23">
        <v>2</v>
      </c>
      <c r="J18" s="25">
        <v>4</v>
      </c>
      <c r="K18" s="169">
        <v>4</v>
      </c>
      <c r="L18" s="31">
        <v>12</v>
      </c>
      <c r="M18" s="138" t="s">
        <v>100</v>
      </c>
      <c r="N18" s="32">
        <v>2</v>
      </c>
      <c r="O18" s="257">
        <v>2</v>
      </c>
    </row>
    <row r="19" spans="2:15" s="166" customFormat="1" ht="15.75" x14ac:dyDescent="0.25">
      <c r="B19" s="161" t="s">
        <v>86</v>
      </c>
      <c r="C19" s="114">
        <v>26</v>
      </c>
      <c r="D19" s="114">
        <f t="shared" si="0"/>
        <v>39</v>
      </c>
      <c r="E19" s="114">
        <v>2</v>
      </c>
      <c r="F19" s="114">
        <v>1</v>
      </c>
      <c r="G19" s="173">
        <v>3</v>
      </c>
      <c r="H19" s="114">
        <v>3</v>
      </c>
      <c r="I19" s="114">
        <v>3</v>
      </c>
      <c r="J19" s="29">
        <v>3</v>
      </c>
      <c r="K19" s="170">
        <v>5</v>
      </c>
      <c r="L19" s="149">
        <v>7</v>
      </c>
      <c r="M19" s="30" t="s">
        <v>100</v>
      </c>
      <c r="N19" s="152">
        <v>2</v>
      </c>
      <c r="O19" s="258">
        <v>10</v>
      </c>
    </row>
    <row r="20" spans="2:15" s="166" customFormat="1" ht="15.75" x14ac:dyDescent="0.25">
      <c r="B20" s="160" t="s">
        <v>89</v>
      </c>
      <c r="C20" s="23">
        <v>11</v>
      </c>
      <c r="D20" s="23">
        <f t="shared" si="0"/>
        <v>25</v>
      </c>
      <c r="E20" s="23">
        <v>2</v>
      </c>
      <c r="F20" s="23" t="s">
        <v>100</v>
      </c>
      <c r="G20" s="175" t="s">
        <v>100</v>
      </c>
      <c r="H20" s="23">
        <v>1</v>
      </c>
      <c r="I20" s="23">
        <v>4</v>
      </c>
      <c r="J20" s="25" t="s">
        <v>100</v>
      </c>
      <c r="K20" s="169" t="s">
        <v>100</v>
      </c>
      <c r="L20" s="31">
        <v>18</v>
      </c>
      <c r="M20" s="138" t="s">
        <v>100</v>
      </c>
      <c r="N20" s="32" t="s">
        <v>100</v>
      </c>
      <c r="O20" s="257" t="s">
        <v>100</v>
      </c>
    </row>
    <row r="21" spans="2:15" s="166" customFormat="1" ht="16.5" thickBot="1" x14ac:dyDescent="0.3">
      <c r="B21" s="162" t="s">
        <v>92</v>
      </c>
      <c r="C21" s="115">
        <v>16</v>
      </c>
      <c r="D21" s="115">
        <f t="shared" si="0"/>
        <v>45</v>
      </c>
      <c r="E21" s="115" t="s">
        <v>100</v>
      </c>
      <c r="F21" s="115">
        <v>2</v>
      </c>
      <c r="G21" s="183" t="s">
        <v>100</v>
      </c>
      <c r="H21" s="115">
        <v>2</v>
      </c>
      <c r="I21" s="115">
        <v>2</v>
      </c>
      <c r="J21" s="105" t="s">
        <v>100</v>
      </c>
      <c r="K21" s="171">
        <v>39</v>
      </c>
      <c r="L21" s="150" t="s">
        <v>100</v>
      </c>
      <c r="M21" s="106" t="s">
        <v>100</v>
      </c>
      <c r="N21" s="153" t="s">
        <v>100</v>
      </c>
      <c r="O21" s="259" t="s">
        <v>100</v>
      </c>
    </row>
    <row r="22" spans="2:15" s="166" customFormat="1" ht="15.75" customHeight="1" thickTop="1" thickBot="1" x14ac:dyDescent="0.3">
      <c r="B22" s="156" t="s">
        <v>136</v>
      </c>
      <c r="C22" s="260">
        <f>SUM(C4:C21)</f>
        <v>516</v>
      </c>
      <c r="D22" s="260">
        <f t="shared" ref="D22:O22" si="1">SUM(D4:D21)</f>
        <v>579</v>
      </c>
      <c r="E22" s="260">
        <f>SUM(E4:E21)</f>
        <v>56</v>
      </c>
      <c r="F22" s="260">
        <f>SUM(F4:F21)</f>
        <v>19</v>
      </c>
      <c r="G22" s="260">
        <f>SUM(G4:G21)</f>
        <v>48</v>
      </c>
      <c r="H22" s="260">
        <f t="shared" si="1"/>
        <v>58</v>
      </c>
      <c r="I22" s="260">
        <f t="shared" si="1"/>
        <v>43</v>
      </c>
      <c r="J22" s="260">
        <f t="shared" si="1"/>
        <v>58</v>
      </c>
      <c r="K22" s="260">
        <f t="shared" si="1"/>
        <v>87</v>
      </c>
      <c r="L22" s="260">
        <f t="shared" si="1"/>
        <v>93</v>
      </c>
      <c r="M22" s="260">
        <f t="shared" si="1"/>
        <v>26</v>
      </c>
      <c r="N22" s="260">
        <f t="shared" si="1"/>
        <v>36</v>
      </c>
      <c r="O22" s="260">
        <f t="shared" si="1"/>
        <v>55</v>
      </c>
    </row>
    <row r="23" spans="2:15" s="166" customFormat="1" ht="10.5" customHeight="1" x14ac:dyDescent="0.25"/>
    <row r="24" spans="2:15" ht="0" hidden="1" customHeight="1" x14ac:dyDescent="0.25"/>
    <row r="25" spans="2:15" ht="0" hidden="1" customHeight="1" x14ac:dyDescent="0.25"/>
    <row r="26" spans="2:15" ht="0" hidden="1" customHeight="1" x14ac:dyDescent="0.25"/>
    <row r="27" spans="2:15" ht="0" hidden="1" customHeight="1" x14ac:dyDescent="0.25"/>
    <row r="28" spans="2:15" ht="0" hidden="1" customHeight="1" x14ac:dyDescent="0.25"/>
    <row r="29" spans="2:15" ht="0" hidden="1" customHeight="1" x14ac:dyDescent="0.25"/>
    <row r="30" spans="2:15" ht="0" hidden="1" customHeight="1" x14ac:dyDescent="0.25"/>
    <row r="31" spans="2:15" ht="0" hidden="1" customHeight="1" x14ac:dyDescent="0.25"/>
    <row r="32" spans="2:15" ht="0" hidden="1" customHeight="1" x14ac:dyDescent="0.25"/>
    <row r="33" ht="0" hidden="1" customHeight="1" x14ac:dyDescent="0.25"/>
    <row r="34" ht="0" hidden="1" customHeight="1" x14ac:dyDescent="0.25"/>
    <row r="35" ht="0" hidden="1" customHeight="1" x14ac:dyDescent="0.25"/>
    <row r="36" ht="0" hidden="1" customHeight="1" x14ac:dyDescent="0.25"/>
    <row r="37" ht="0" hidden="1" customHeight="1" x14ac:dyDescent="0.25"/>
    <row r="38" ht="0" hidden="1" customHeight="1" x14ac:dyDescent="0.25"/>
    <row r="39" ht="0" hidden="1" customHeight="1" x14ac:dyDescent="0.25"/>
    <row r="40" ht="0" hidden="1" customHeight="1" x14ac:dyDescent="0.25"/>
    <row r="41" ht="0" hidden="1" customHeight="1" x14ac:dyDescent="0.25"/>
    <row r="42" ht="0" hidden="1" customHeight="1" x14ac:dyDescent="0.25"/>
    <row r="43" ht="0" hidden="1" customHeight="1" x14ac:dyDescent="0.25"/>
    <row r="44" ht="0" hidden="1" customHeight="1" x14ac:dyDescent="0.25"/>
    <row r="45" ht="0" hidden="1" customHeight="1" x14ac:dyDescent="0.25"/>
    <row r="46" ht="0" hidden="1" customHeight="1" x14ac:dyDescent="0.25"/>
    <row r="47" ht="0" hidden="1" customHeight="1" x14ac:dyDescent="0.25"/>
    <row r="48" ht="0" hidden="1" customHeight="1" x14ac:dyDescent="0.25"/>
    <row r="49" ht="0" hidden="1" customHeight="1" x14ac:dyDescent="0.25"/>
    <row r="50" ht="0" hidden="1" customHeight="1" x14ac:dyDescent="0.25"/>
    <row r="51" ht="0" hidden="1" customHeight="1" x14ac:dyDescent="0.25"/>
    <row r="52" ht="0" hidden="1" customHeight="1" x14ac:dyDescent="0.25"/>
    <row r="53" ht="0" hidden="1" customHeight="1" x14ac:dyDescent="0.25"/>
  </sheetData>
  <sheetProtection sheet="1" objects="1" scenarios="1"/>
  <mergeCells count="1">
    <mergeCell ref="B2:O2"/>
  </mergeCells>
  <pageMargins left="0.7" right="0.7" top="0.75" bottom="0.75" header="0.3" footer="0.3"/>
  <pageSetup scale="82" fitToHeight="0" orientation="landscape" r:id="rId1"/>
  <drawing r:id="rId2"/>
  <legacyDrawing r:id="rId3"/>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Information</vt:lpstr>
      <vt:lpstr>Menu</vt:lpstr>
      <vt:lpstr>Ammo</vt:lpstr>
      <vt:lpstr>Meds</vt:lpstr>
      <vt:lpstr>'100% Counts Glitched'!Print_Area</vt:lpstr>
      <vt:lpstr>'100% Counts Glitchless'!Print_Area</vt:lpstr>
      <vt:lpstr>Information!Print_Area</vt:lpstr>
      <vt:lpstr>Meds!Print_Area</vt:lpstr>
      <vt:lpstr>Meds!Print_Titles</vt:lpstr>
      <vt:lpstr>Table</vt:lpstr>
      <vt:lpstr>Visibility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Cody</dc:creator>
  <cp:lastModifiedBy>Cody Mason</cp:lastModifiedBy>
  <cp:lastPrinted>2018-09-13T03:03:48Z</cp:lastPrinted>
  <dcterms:created xsi:type="dcterms:W3CDTF">2018-04-30T16:13:25Z</dcterms:created>
  <dcterms:modified xsi:type="dcterms:W3CDTF">2018-09-13T03:16:56Z</dcterms:modified>
</cp:coreProperties>
</file>